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1dddce8bbeff95/바탕 화면/교육자료(참고용)/"/>
    </mc:Choice>
  </mc:AlternateContent>
  <xr:revisionPtr revIDLastSave="64" documentId="11_308FC67DE6875D27AF3DE08E6A7C60BDDF56409B" xr6:coauthVersionLast="47" xr6:coauthVersionMax="47" xr10:uidLastSave="{DCC75F6B-F5E3-4485-B2E6-FFDA9AE95974}"/>
  <bookViews>
    <workbookView xWindow="-103" yWindow="-103" windowWidth="24892" windowHeight="14914" xr2:uid="{00000000-000D-0000-FFFF-FFFF00000000}"/>
  </bookViews>
  <sheets>
    <sheet name="앞면" sheetId="5" r:id="rId1"/>
    <sheet name="뒷면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" i="6" l="1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P28" i="6"/>
  <c r="O28" i="6"/>
  <c r="P27" i="6"/>
  <c r="O27" i="6"/>
  <c r="P26" i="6"/>
  <c r="O26" i="6"/>
  <c r="P25" i="6"/>
  <c r="O25" i="6"/>
  <c r="P24" i="6"/>
  <c r="O24" i="6"/>
  <c r="P23" i="6"/>
  <c r="O23" i="6"/>
  <c r="P22" i="6"/>
  <c r="O22" i="6"/>
  <c r="P21" i="6"/>
  <c r="O21" i="6"/>
  <c r="P20" i="6"/>
  <c r="O20" i="6"/>
  <c r="P19" i="6"/>
  <c r="O19" i="6"/>
  <c r="Y28" i="6"/>
  <c r="X28" i="6"/>
  <c r="V28" i="6"/>
  <c r="U28" i="6"/>
  <c r="S28" i="6"/>
  <c r="R28" i="6"/>
  <c r="Y27" i="6"/>
  <c r="X27" i="6"/>
  <c r="V27" i="6"/>
  <c r="U27" i="6"/>
  <c r="S27" i="6"/>
  <c r="R27" i="6"/>
  <c r="Y25" i="6"/>
  <c r="X25" i="6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26" i="6"/>
  <c r="X26" i="6"/>
  <c r="Y16" i="6"/>
  <c r="X16" i="6"/>
  <c r="Y15" i="6"/>
  <c r="X15" i="6"/>
  <c r="Y14" i="6"/>
  <c r="X14" i="6"/>
  <c r="Y13" i="6"/>
  <c r="X13" i="6"/>
  <c r="Y12" i="6"/>
  <c r="X12" i="6"/>
  <c r="V25" i="6"/>
  <c r="U25" i="6"/>
  <c r="V26" i="6"/>
  <c r="U26" i="6"/>
  <c r="V24" i="6"/>
  <c r="U24" i="6"/>
  <c r="V23" i="6"/>
  <c r="U23" i="6"/>
  <c r="V22" i="6"/>
  <c r="U22" i="6"/>
  <c r="V21" i="6"/>
  <c r="U21" i="6"/>
  <c r="S26" i="6"/>
  <c r="R26" i="6"/>
  <c r="S25" i="6"/>
  <c r="R25" i="6"/>
  <c r="S24" i="6"/>
  <c r="R24" i="6"/>
  <c r="S23" i="6"/>
  <c r="R23" i="6"/>
  <c r="S22" i="6"/>
  <c r="R22" i="6"/>
  <c r="S21" i="6"/>
  <c r="R21" i="6"/>
  <c r="S20" i="6"/>
  <c r="R20" i="6"/>
  <c r="S19" i="6"/>
  <c r="R19" i="6"/>
  <c r="S18" i="6"/>
  <c r="R18" i="6"/>
  <c r="S17" i="6"/>
  <c r="R17" i="6"/>
  <c r="S16" i="6"/>
  <c r="R16" i="6"/>
  <c r="S15" i="6"/>
  <c r="R15" i="6"/>
  <c r="S14" i="6"/>
  <c r="R14" i="6"/>
  <c r="S13" i="6"/>
  <c r="R13" i="6"/>
  <c r="S12" i="6"/>
  <c r="R12" i="6"/>
  <c r="S11" i="6"/>
  <c r="R11" i="6"/>
  <c r="S10" i="6"/>
  <c r="R10" i="6"/>
  <c r="S9" i="6"/>
  <c r="R9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P18" i="6"/>
  <c r="M18" i="6"/>
  <c r="O18" i="6" s="1"/>
  <c r="P17" i="6"/>
  <c r="M17" i="6"/>
  <c r="O17" i="6" s="1"/>
  <c r="M16" i="6"/>
  <c r="O16" i="6" s="1"/>
  <c r="P15" i="6"/>
  <c r="M15" i="6"/>
  <c r="O15" i="6"/>
  <c r="P14" i="6"/>
  <c r="M14" i="6"/>
  <c r="O14" i="6" s="1"/>
  <c r="P13" i="6"/>
  <c r="M13" i="6"/>
  <c r="O13" i="6" s="1"/>
  <c r="P12" i="6"/>
  <c r="M12" i="6"/>
  <c r="O12" i="6" s="1"/>
  <c r="P16" i="6"/>
  <c r="P11" i="6"/>
  <c r="O11" i="6"/>
  <c r="P10" i="6"/>
  <c r="O10" i="6"/>
  <c r="P9" i="6"/>
  <c r="O9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M19" i="6"/>
  <c r="L19" i="6"/>
  <c r="L18" i="6"/>
  <c r="L17" i="6"/>
  <c r="L16" i="6"/>
  <c r="L15" i="6"/>
  <c r="L14" i="6"/>
  <c r="L13" i="6"/>
  <c r="L12" i="6"/>
  <c r="M11" i="6"/>
  <c r="L11" i="6"/>
  <c r="M10" i="6"/>
  <c r="L10" i="6"/>
  <c r="M9" i="6"/>
  <c r="L9" i="6"/>
  <c r="J26" i="6"/>
  <c r="I26" i="6"/>
  <c r="J25" i="6"/>
  <c r="I25" i="6"/>
  <c r="J24" i="6"/>
  <c r="I24" i="6"/>
  <c r="J23" i="6"/>
  <c r="I23" i="6"/>
  <c r="J22" i="6"/>
  <c r="I22" i="6"/>
  <c r="J11" i="6"/>
  <c r="I11" i="6"/>
  <c r="J10" i="6"/>
  <c r="I10" i="6"/>
  <c r="J9" i="6"/>
  <c r="I9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AB28" i="5"/>
  <c r="Z28" i="5"/>
  <c r="X28" i="5"/>
  <c r="V28" i="5"/>
  <c r="T28" i="5"/>
  <c r="R28" i="5"/>
  <c r="P28" i="5"/>
  <c r="L28" i="5"/>
  <c r="J28" i="5"/>
  <c r="H28" i="5"/>
  <c r="F28" i="5"/>
  <c r="AD23" i="5"/>
  <c r="AD22" i="5"/>
  <c r="AD21" i="5"/>
  <c r="AD20" i="5"/>
  <c r="AD19" i="5"/>
  <c r="AD18" i="5"/>
  <c r="AD16" i="5"/>
  <c r="AD15" i="5"/>
  <c r="AD14" i="5"/>
  <c r="AD13" i="5"/>
  <c r="AD12" i="5"/>
  <c r="AD11" i="5"/>
  <c r="AD10" i="5"/>
  <c r="AD9" i="5"/>
  <c r="AB29" i="5"/>
  <c r="AB27" i="5"/>
  <c r="AB26" i="5"/>
  <c r="AB25" i="5"/>
  <c r="AB24" i="5"/>
  <c r="AB23" i="5"/>
  <c r="AB22" i="5"/>
  <c r="AB21" i="5"/>
  <c r="AB20" i="5"/>
  <c r="AB19" i="5"/>
  <c r="AB18" i="5"/>
  <c r="AB16" i="5"/>
  <c r="AB15" i="5"/>
  <c r="AB14" i="5"/>
  <c r="AB13" i="5"/>
  <c r="AB12" i="5"/>
  <c r="AB11" i="5"/>
  <c r="AB10" i="5"/>
  <c r="AB9" i="5"/>
  <c r="Z29" i="5"/>
  <c r="Z27" i="5"/>
  <c r="Z26" i="5"/>
  <c r="Z25" i="5"/>
  <c r="Z24" i="5"/>
  <c r="Z23" i="5"/>
  <c r="Z22" i="5"/>
  <c r="Z21" i="5"/>
  <c r="X29" i="5"/>
  <c r="X27" i="5"/>
  <c r="X26" i="5"/>
  <c r="X25" i="5"/>
  <c r="X24" i="5"/>
  <c r="X23" i="5"/>
  <c r="X22" i="5"/>
  <c r="X21" i="5"/>
  <c r="X20" i="5"/>
  <c r="X19" i="5"/>
  <c r="X18" i="5"/>
  <c r="V29" i="5"/>
  <c r="V27" i="5"/>
  <c r="V26" i="5"/>
  <c r="V25" i="5"/>
  <c r="V24" i="5"/>
  <c r="V23" i="5"/>
  <c r="V22" i="5"/>
  <c r="V21" i="5"/>
  <c r="T29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R29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P29" i="5"/>
  <c r="P27" i="5"/>
  <c r="P26" i="5"/>
  <c r="P25" i="5"/>
  <c r="P24" i="5"/>
  <c r="P23" i="5"/>
  <c r="P22" i="5"/>
  <c r="N29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L29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J29" i="5"/>
  <c r="J27" i="5"/>
  <c r="J26" i="5"/>
  <c r="J25" i="5"/>
  <c r="J24" i="5"/>
  <c r="J23" i="5"/>
  <c r="J22" i="5"/>
  <c r="J21" i="5"/>
  <c r="H29" i="5"/>
  <c r="H27" i="5"/>
  <c r="H26" i="5"/>
  <c r="H25" i="5"/>
  <c r="H24" i="5"/>
  <c r="H23" i="5"/>
  <c r="H22" i="5"/>
  <c r="H21" i="5"/>
  <c r="F29" i="5"/>
  <c r="F27" i="5"/>
  <c r="F26" i="5"/>
  <c r="F25" i="5"/>
  <c r="F24" i="5"/>
</calcChain>
</file>

<file path=xl/sharedStrings.xml><?xml version="1.0" encoding="utf-8"?>
<sst xmlns="http://schemas.openxmlformats.org/spreadsheetml/2006/main" count="315" uniqueCount="250">
  <si>
    <t>A</t>
    <phoneticPr fontId="1" type="noConversion"/>
  </si>
  <si>
    <t>B</t>
    <phoneticPr fontId="1" type="noConversion"/>
  </si>
  <si>
    <t>S/80</t>
    <phoneticPr fontId="1" type="noConversion"/>
  </si>
  <si>
    <t>S/60</t>
    <phoneticPr fontId="1" type="noConversion"/>
  </si>
  <si>
    <t>S/100</t>
    <phoneticPr fontId="1" type="noConversion"/>
  </si>
  <si>
    <t>S/120</t>
    <phoneticPr fontId="1" type="noConversion"/>
  </si>
  <si>
    <t>S/140</t>
    <phoneticPr fontId="1" type="noConversion"/>
  </si>
  <si>
    <t>S/160</t>
    <phoneticPr fontId="1" type="noConversion"/>
  </si>
  <si>
    <t>1/8</t>
  </si>
  <si>
    <t>1/4</t>
  </si>
  <si>
    <t>1/2</t>
  </si>
  <si>
    <t>3/4</t>
  </si>
  <si>
    <t>1</t>
  </si>
  <si>
    <t>1-1/4</t>
  </si>
  <si>
    <t>1-1/2</t>
  </si>
  <si>
    <t>2</t>
  </si>
  <si>
    <t>2-1/2</t>
  </si>
  <si>
    <t>3</t>
  </si>
  <si>
    <t>3-1/2</t>
  </si>
  <si>
    <t>4</t>
  </si>
  <si>
    <t>5</t>
  </si>
  <si>
    <t>6</t>
  </si>
  <si>
    <t>8</t>
  </si>
  <si>
    <t>10</t>
  </si>
  <si>
    <t>12</t>
  </si>
  <si>
    <t>14</t>
  </si>
  <si>
    <t>16</t>
  </si>
  <si>
    <t>18</t>
  </si>
  <si>
    <t>20</t>
  </si>
  <si>
    <t>24</t>
  </si>
  <si>
    <t>mm</t>
    <phoneticPr fontId="1" type="noConversion"/>
  </si>
  <si>
    <t>SGP</t>
    <phoneticPr fontId="1" type="noConversion"/>
  </si>
  <si>
    <t>S/10</t>
    <phoneticPr fontId="1" type="noConversion"/>
  </si>
  <si>
    <t>S/20</t>
    <phoneticPr fontId="1" type="noConversion"/>
  </si>
  <si>
    <t>S/30</t>
    <phoneticPr fontId="1" type="noConversion"/>
  </si>
  <si>
    <t>S/40</t>
    <phoneticPr fontId="1" type="noConversion"/>
  </si>
  <si>
    <t>NPS</t>
    <phoneticPr fontId="1" type="noConversion"/>
  </si>
  <si>
    <t>DN</t>
    <phoneticPr fontId="1" type="noConversion"/>
  </si>
  <si>
    <t>STD</t>
    <phoneticPr fontId="1" type="noConversion"/>
  </si>
  <si>
    <t>XS</t>
    <phoneticPr fontId="1" type="noConversion"/>
  </si>
  <si>
    <t>XXS</t>
    <phoneticPr fontId="1" type="noConversion"/>
  </si>
  <si>
    <t>3/8</t>
    <phoneticPr fontId="1" type="noConversion"/>
  </si>
  <si>
    <t xml:space="preserve">  6A</t>
    <phoneticPr fontId="1" type="noConversion"/>
  </si>
  <si>
    <t>1/8</t>
    <phoneticPr fontId="1" type="noConversion"/>
  </si>
  <si>
    <t xml:space="preserve">  8A</t>
    <phoneticPr fontId="1" type="noConversion"/>
  </si>
  <si>
    <t>1/4</t>
    <phoneticPr fontId="1" type="noConversion"/>
  </si>
  <si>
    <t xml:space="preserve"> 10A</t>
    <phoneticPr fontId="1" type="noConversion"/>
  </si>
  <si>
    <t xml:space="preserve"> 15A</t>
    <phoneticPr fontId="1" type="noConversion"/>
  </si>
  <si>
    <t>1/2</t>
    <phoneticPr fontId="1" type="noConversion"/>
  </si>
  <si>
    <t xml:space="preserve"> 20A</t>
    <phoneticPr fontId="1" type="noConversion"/>
  </si>
  <si>
    <t>3/4</t>
    <phoneticPr fontId="1" type="noConversion"/>
  </si>
  <si>
    <t xml:space="preserve"> 25A</t>
    <phoneticPr fontId="1" type="noConversion"/>
  </si>
  <si>
    <t>1</t>
    <phoneticPr fontId="1" type="noConversion"/>
  </si>
  <si>
    <t xml:space="preserve"> 32A</t>
    <phoneticPr fontId="1" type="noConversion"/>
  </si>
  <si>
    <t>1-1/4</t>
    <phoneticPr fontId="1" type="noConversion"/>
  </si>
  <si>
    <t xml:space="preserve"> 40A</t>
    <phoneticPr fontId="1" type="noConversion"/>
  </si>
  <si>
    <t>1-1/2</t>
    <phoneticPr fontId="1" type="noConversion"/>
  </si>
  <si>
    <t xml:space="preserve"> 50A</t>
    <phoneticPr fontId="1" type="noConversion"/>
  </si>
  <si>
    <t>2</t>
    <phoneticPr fontId="1" type="noConversion"/>
  </si>
  <si>
    <t xml:space="preserve"> 65A</t>
    <phoneticPr fontId="1" type="noConversion"/>
  </si>
  <si>
    <t>2-1/2</t>
    <phoneticPr fontId="1" type="noConversion"/>
  </si>
  <si>
    <t xml:space="preserve"> 80A</t>
    <phoneticPr fontId="1" type="noConversion"/>
  </si>
  <si>
    <t>3</t>
    <phoneticPr fontId="1" type="noConversion"/>
  </si>
  <si>
    <t xml:space="preserve"> 90A</t>
    <phoneticPr fontId="1" type="noConversion"/>
  </si>
  <si>
    <t>3-1/2</t>
    <phoneticPr fontId="1" type="noConversion"/>
  </si>
  <si>
    <t>100A</t>
    <phoneticPr fontId="1" type="noConversion"/>
  </si>
  <si>
    <t>4</t>
    <phoneticPr fontId="1" type="noConversion"/>
  </si>
  <si>
    <t>125A</t>
    <phoneticPr fontId="1" type="noConversion"/>
  </si>
  <si>
    <t>5</t>
    <phoneticPr fontId="1" type="noConversion"/>
  </si>
  <si>
    <t>150A</t>
    <phoneticPr fontId="1" type="noConversion"/>
  </si>
  <si>
    <t>6</t>
    <phoneticPr fontId="1" type="noConversion"/>
  </si>
  <si>
    <t>200A</t>
    <phoneticPr fontId="1" type="noConversion"/>
  </si>
  <si>
    <t>8</t>
    <phoneticPr fontId="1" type="noConversion"/>
  </si>
  <si>
    <t>250A</t>
    <phoneticPr fontId="1" type="noConversion"/>
  </si>
  <si>
    <t>10</t>
    <phoneticPr fontId="1" type="noConversion"/>
  </si>
  <si>
    <t>300A</t>
    <phoneticPr fontId="1" type="noConversion"/>
  </si>
  <si>
    <t>12</t>
    <phoneticPr fontId="1" type="noConversion"/>
  </si>
  <si>
    <t>350A</t>
    <phoneticPr fontId="1" type="noConversion"/>
  </si>
  <si>
    <t>14</t>
    <phoneticPr fontId="1" type="noConversion"/>
  </si>
  <si>
    <t>400A</t>
    <phoneticPr fontId="1" type="noConversion"/>
  </si>
  <si>
    <t>16</t>
    <phoneticPr fontId="1" type="noConversion"/>
  </si>
  <si>
    <t>450A</t>
    <phoneticPr fontId="1" type="noConversion"/>
  </si>
  <si>
    <t>18</t>
    <phoneticPr fontId="1" type="noConversion"/>
  </si>
  <si>
    <t>500A</t>
    <phoneticPr fontId="1" type="noConversion"/>
  </si>
  <si>
    <t>20</t>
    <phoneticPr fontId="1" type="noConversion"/>
  </si>
  <si>
    <t>550A</t>
    <phoneticPr fontId="1" type="noConversion"/>
  </si>
  <si>
    <t>22</t>
    <phoneticPr fontId="1" type="noConversion"/>
  </si>
  <si>
    <t>600A</t>
    <phoneticPr fontId="1" type="noConversion"/>
  </si>
  <si>
    <t>24</t>
    <phoneticPr fontId="1" type="noConversion"/>
  </si>
  <si>
    <t>CARBON STEEL SEAMLESS/ERW PIPE WEIGHT TABLE</t>
    <phoneticPr fontId="1" type="noConversion"/>
  </si>
  <si>
    <t xml:space="preserve"> A120</t>
    <phoneticPr fontId="1" type="noConversion"/>
  </si>
  <si>
    <t xml:space="preserve"> A106 Gr.A</t>
  </si>
  <si>
    <t xml:space="preserve"> A106 Gr.B</t>
  </si>
  <si>
    <t xml:space="preserve"> A106 Gr.C</t>
  </si>
  <si>
    <t>※ 취 급 품 목 ※</t>
    <phoneticPr fontId="1" type="noConversion"/>
  </si>
  <si>
    <t>2. SUS 304</t>
    <phoneticPr fontId="1" type="noConversion"/>
  </si>
  <si>
    <t>3. SUS 316</t>
    <phoneticPr fontId="1" type="noConversion"/>
  </si>
  <si>
    <t>O.D : 외경 (Out Diameter)</t>
    <phoneticPr fontId="1" type="noConversion"/>
  </si>
  <si>
    <t>t      : 두께 (Thickness)</t>
    <phoneticPr fontId="1" type="noConversion"/>
  </si>
  <si>
    <t>1. Carbon Steel</t>
    <phoneticPr fontId="1" type="noConversion"/>
  </si>
  <si>
    <t xml:space="preserve">   = (O.D -t)*t*0.02466</t>
    <phoneticPr fontId="1" type="noConversion"/>
  </si>
  <si>
    <t xml:space="preserve">   = (O.D -t)*t*0.02491</t>
    <phoneticPr fontId="1" type="noConversion"/>
  </si>
  <si>
    <t xml:space="preserve">   = (O.D -t)*t*0.02507</t>
    <phoneticPr fontId="1" type="noConversion"/>
  </si>
  <si>
    <t>NPS</t>
    <phoneticPr fontId="1" type="noConversion"/>
  </si>
  <si>
    <t>DN</t>
    <phoneticPr fontId="1" type="noConversion"/>
  </si>
  <si>
    <t>mm</t>
    <phoneticPr fontId="1" type="noConversion"/>
  </si>
  <si>
    <t>3/8</t>
    <phoneticPr fontId="1" type="noConversion"/>
  </si>
  <si>
    <t xml:space="preserve">  6A</t>
    <phoneticPr fontId="1" type="noConversion"/>
  </si>
  <si>
    <t>1/8</t>
    <phoneticPr fontId="1" type="noConversion"/>
  </si>
  <si>
    <t xml:space="preserve">  8A</t>
    <phoneticPr fontId="1" type="noConversion"/>
  </si>
  <si>
    <t>1/4</t>
    <phoneticPr fontId="1" type="noConversion"/>
  </si>
  <si>
    <t xml:space="preserve"> 10A</t>
    <phoneticPr fontId="1" type="noConversion"/>
  </si>
  <si>
    <t xml:space="preserve"> 15A</t>
    <phoneticPr fontId="1" type="noConversion"/>
  </si>
  <si>
    <t>1/2</t>
    <phoneticPr fontId="1" type="noConversion"/>
  </si>
  <si>
    <t xml:space="preserve"> 20A</t>
    <phoneticPr fontId="1" type="noConversion"/>
  </si>
  <si>
    <t>3/4</t>
    <phoneticPr fontId="1" type="noConversion"/>
  </si>
  <si>
    <t xml:space="preserve"> 25A</t>
    <phoneticPr fontId="1" type="noConversion"/>
  </si>
  <si>
    <t>1</t>
    <phoneticPr fontId="1" type="noConversion"/>
  </si>
  <si>
    <t xml:space="preserve"> 32A</t>
    <phoneticPr fontId="1" type="noConversion"/>
  </si>
  <si>
    <t>1-1/4</t>
    <phoneticPr fontId="1" type="noConversion"/>
  </si>
  <si>
    <t xml:space="preserve"> 40A</t>
    <phoneticPr fontId="1" type="noConversion"/>
  </si>
  <si>
    <t>1-1/2</t>
    <phoneticPr fontId="1" type="noConversion"/>
  </si>
  <si>
    <t xml:space="preserve"> 50A</t>
    <phoneticPr fontId="1" type="noConversion"/>
  </si>
  <si>
    <t>2</t>
    <phoneticPr fontId="1" type="noConversion"/>
  </si>
  <si>
    <t xml:space="preserve"> 65A</t>
    <phoneticPr fontId="1" type="noConversion"/>
  </si>
  <si>
    <t>2-1/2</t>
    <phoneticPr fontId="1" type="noConversion"/>
  </si>
  <si>
    <t xml:space="preserve"> 80A</t>
    <phoneticPr fontId="1" type="noConversion"/>
  </si>
  <si>
    <t>3</t>
    <phoneticPr fontId="1" type="noConversion"/>
  </si>
  <si>
    <t xml:space="preserve"> 90A</t>
    <phoneticPr fontId="1" type="noConversion"/>
  </si>
  <si>
    <t>3-1/2</t>
    <phoneticPr fontId="1" type="noConversion"/>
  </si>
  <si>
    <t>100A</t>
    <phoneticPr fontId="1" type="noConversion"/>
  </si>
  <si>
    <t>4</t>
    <phoneticPr fontId="1" type="noConversion"/>
  </si>
  <si>
    <t>125A</t>
    <phoneticPr fontId="1" type="noConversion"/>
  </si>
  <si>
    <t>5</t>
    <phoneticPr fontId="1" type="noConversion"/>
  </si>
  <si>
    <t>150A</t>
    <phoneticPr fontId="1" type="noConversion"/>
  </si>
  <si>
    <t>6</t>
    <phoneticPr fontId="1" type="noConversion"/>
  </si>
  <si>
    <t>200A</t>
    <phoneticPr fontId="1" type="noConversion"/>
  </si>
  <si>
    <t>8</t>
    <phoneticPr fontId="1" type="noConversion"/>
  </si>
  <si>
    <t>250A</t>
    <phoneticPr fontId="1" type="noConversion"/>
  </si>
  <si>
    <t>10</t>
    <phoneticPr fontId="1" type="noConversion"/>
  </si>
  <si>
    <t>300A</t>
    <phoneticPr fontId="1" type="noConversion"/>
  </si>
  <si>
    <t>12</t>
    <phoneticPr fontId="1" type="noConversion"/>
  </si>
  <si>
    <t>STAINLESS STEEL SEAMLESS/ERW PIPE WEIGHT TABLE</t>
    <phoneticPr fontId="1" type="noConversion"/>
  </si>
  <si>
    <t>S/5S</t>
    <phoneticPr fontId="1" type="noConversion"/>
  </si>
  <si>
    <t>S/10S</t>
    <phoneticPr fontId="1" type="noConversion"/>
  </si>
  <si>
    <t>S/40S</t>
    <phoneticPr fontId="1" type="noConversion"/>
  </si>
  <si>
    <t>S/80S</t>
    <phoneticPr fontId="1" type="noConversion"/>
  </si>
  <si>
    <t>A</t>
  </si>
  <si>
    <t>B</t>
  </si>
  <si>
    <t>mm</t>
  </si>
  <si>
    <t>OUT DIAMETER</t>
    <phoneticPr fontId="1" type="noConversion"/>
  </si>
  <si>
    <t>S/5S</t>
    <phoneticPr fontId="1" type="noConversion"/>
  </si>
  <si>
    <t>WT</t>
    <phoneticPr fontId="1" type="noConversion"/>
  </si>
  <si>
    <t>WT/M(kg)</t>
    <phoneticPr fontId="1" type="noConversion"/>
  </si>
  <si>
    <t>304</t>
    <phoneticPr fontId="1" type="noConversion"/>
  </si>
  <si>
    <t>316</t>
    <phoneticPr fontId="1" type="noConversion"/>
  </si>
  <si>
    <t>S/10S</t>
    <phoneticPr fontId="1" type="noConversion"/>
  </si>
  <si>
    <t>S/20S</t>
    <phoneticPr fontId="1" type="noConversion"/>
  </si>
  <si>
    <t>S/40S</t>
    <phoneticPr fontId="1" type="noConversion"/>
  </si>
  <si>
    <t>S/120S</t>
    <phoneticPr fontId="1" type="noConversion"/>
  </si>
  <si>
    <t>S/160S</t>
    <phoneticPr fontId="1" type="noConversion"/>
  </si>
  <si>
    <t>1. Carbon Steel Pipe</t>
    <phoneticPr fontId="1" type="noConversion"/>
  </si>
  <si>
    <t>2. Alloy Steel Pipe</t>
    <phoneticPr fontId="1" type="noConversion"/>
  </si>
  <si>
    <t>3. Stainless Steel Pipe</t>
    <phoneticPr fontId="1" type="noConversion"/>
  </si>
  <si>
    <t>4. Boiler Tube</t>
    <phoneticPr fontId="1" type="noConversion"/>
  </si>
  <si>
    <t>5. Mechanical Tube</t>
    <phoneticPr fontId="1" type="noConversion"/>
  </si>
  <si>
    <t>6. Import &amp; Export Offer</t>
    <phoneticPr fontId="1" type="noConversion"/>
  </si>
  <si>
    <t>350A</t>
    <phoneticPr fontId="1" type="noConversion"/>
  </si>
  <si>
    <t>400A</t>
    <phoneticPr fontId="1" type="noConversion"/>
  </si>
  <si>
    <t>14</t>
    <phoneticPr fontId="1" type="noConversion"/>
  </si>
  <si>
    <t>16</t>
    <phoneticPr fontId="1" type="noConversion"/>
  </si>
  <si>
    <t>※ 단중계산 공식 ※</t>
    <phoneticPr fontId="1" type="noConversion"/>
  </si>
  <si>
    <t>◎ 미국연방표준규격 (ANSI)</t>
    <phoneticPr fontId="1" type="noConversion"/>
  </si>
  <si>
    <t>◎ 일본공업규격 (JIS)</t>
    <phoneticPr fontId="1" type="noConversion"/>
  </si>
  <si>
    <t xml:space="preserve"> 배관용 탄소강 강관</t>
  </si>
  <si>
    <t xml:space="preserve"> 압력배관용 탄소강 강관</t>
  </si>
  <si>
    <t xml:space="preserve"> 고압배관용 탄소강 강관</t>
  </si>
  <si>
    <t xml:space="preserve"> 고온배관용 탄소강 강관</t>
  </si>
  <si>
    <t xml:space="preserve"> 배관용 합금강 강관</t>
  </si>
  <si>
    <t xml:space="preserve"> 저온배관용 강관</t>
  </si>
  <si>
    <t xml:space="preserve"> JIS G 3452</t>
  </si>
  <si>
    <t xml:space="preserve"> JIS G 3454</t>
  </si>
  <si>
    <t xml:space="preserve"> JIS G 3455</t>
  </si>
  <si>
    <t xml:space="preserve"> JIS G 3456</t>
  </si>
  <si>
    <t xml:space="preserve"> JIS G 3458</t>
  </si>
  <si>
    <t>JIS G 3460</t>
  </si>
  <si>
    <t xml:space="preserve"> SGP</t>
  </si>
  <si>
    <t xml:space="preserve"> STPG 370</t>
  </si>
  <si>
    <t xml:space="preserve"> STPG 410</t>
  </si>
  <si>
    <t xml:space="preserve"> STS 370</t>
  </si>
  <si>
    <t xml:space="preserve"> STS 410</t>
  </si>
  <si>
    <t xml:space="preserve"> STS 480</t>
  </si>
  <si>
    <t xml:space="preserve"> STPT 370</t>
  </si>
  <si>
    <t xml:space="preserve"> STPT 410</t>
  </si>
  <si>
    <t xml:space="preserve"> STPT 480</t>
  </si>
  <si>
    <t xml:space="preserve"> STPA 12</t>
  </si>
  <si>
    <t xml:space="preserve"> SPPA 20</t>
  </si>
  <si>
    <t xml:space="preserve"> SPPA 22</t>
  </si>
  <si>
    <t xml:space="preserve"> SPPA 23</t>
  </si>
  <si>
    <t xml:space="preserve"> SPPA 24</t>
  </si>
  <si>
    <t xml:space="preserve"> SPPA 25</t>
  </si>
  <si>
    <t xml:space="preserve"> SPPA 26</t>
  </si>
  <si>
    <t xml:space="preserve"> STPL 380</t>
  </si>
  <si>
    <t xml:space="preserve"> STPL 450</t>
  </si>
  <si>
    <t xml:space="preserve"> STPL 690</t>
  </si>
  <si>
    <t xml:space="preserve"> A53 Gr.A</t>
  </si>
  <si>
    <t xml:space="preserve"> A53 Gr.B</t>
  </si>
  <si>
    <t xml:space="preserve"> A335 P1</t>
  </si>
  <si>
    <t xml:space="preserve"> A335 P2</t>
  </si>
  <si>
    <t xml:space="preserve"> A335 P12</t>
  </si>
  <si>
    <t xml:space="preserve"> A335 P11</t>
  </si>
  <si>
    <t xml:space="preserve"> A335 P22</t>
  </si>
  <si>
    <t xml:space="preserve"> A335 P5</t>
  </si>
  <si>
    <t xml:space="preserve"> A335 P9</t>
  </si>
  <si>
    <t xml:space="preserve"> A333 Gr.1</t>
  </si>
  <si>
    <t xml:space="preserve"> A333 Gr.3</t>
  </si>
  <si>
    <t xml:space="preserve"> A333 Gr.8</t>
  </si>
  <si>
    <t xml:space="preserve"> St100</t>
  </si>
  <si>
    <t xml:space="preserve"> St35</t>
  </si>
  <si>
    <t xml:space="preserve"> St45</t>
  </si>
  <si>
    <t xml:space="preserve"> St35.4</t>
  </si>
  <si>
    <t xml:space="preserve"> St45.4</t>
  </si>
  <si>
    <t xml:space="preserve"> St55.4</t>
  </si>
  <si>
    <t xml:space="preserve"> 15Mo3</t>
  </si>
  <si>
    <t xml:space="preserve"> 16crMo4</t>
  </si>
  <si>
    <t xml:space="preserve"> 13crMo44</t>
  </si>
  <si>
    <t xml:space="preserve"> 10crMo910</t>
  </si>
  <si>
    <t xml:space="preserve"> 12crMo195</t>
  </si>
  <si>
    <t xml:space="preserve"> X12crMo91</t>
  </si>
  <si>
    <t xml:space="preserve"> ION14</t>
  </si>
  <si>
    <t xml:space="preserve"> X8NI9</t>
  </si>
  <si>
    <t xml:space="preserve"> 주로 고온의 배관에 사용하는 합금강 강관</t>
  </si>
  <si>
    <t xml:space="preserve"> (일반적으로 350℃ ~ 700℃)</t>
  </si>
  <si>
    <t>품                명</t>
    <phoneticPr fontId="1" type="noConversion"/>
  </si>
  <si>
    <t>일   본 ( JIS )</t>
    <phoneticPr fontId="1" type="noConversion"/>
  </si>
  <si>
    <t>미 국 (ASTM)</t>
    <phoneticPr fontId="1" type="noConversion"/>
  </si>
  <si>
    <t>독 일 (DIN)</t>
    <phoneticPr fontId="1" type="noConversion"/>
  </si>
  <si>
    <t>관        련        규        격</t>
    <phoneticPr fontId="1" type="noConversion"/>
  </si>
  <si>
    <t>사        용        용        도</t>
    <phoneticPr fontId="1" type="noConversion"/>
  </si>
  <si>
    <t xml:space="preserve"> 350℃ 이하의 온도에서 사용하는 압력배관에</t>
    <phoneticPr fontId="1" type="noConversion"/>
  </si>
  <si>
    <t xml:space="preserve"> 사용하는 탄소강 강관</t>
  </si>
  <si>
    <t xml:space="preserve"> 350℃ 이하에서 사용압력이 높은 배관에</t>
    <phoneticPr fontId="1" type="noConversion"/>
  </si>
  <si>
    <t xml:space="preserve"> 350℃ 이상의 온도에서 사용하는 배관에</t>
    <phoneticPr fontId="1" type="noConversion"/>
  </si>
  <si>
    <t xml:space="preserve"> 빙점 이하의 특히 낮은 온도의 배관에</t>
    <phoneticPr fontId="1" type="noConversion"/>
  </si>
  <si>
    <t xml:space="preserve"> 사용하는 강관</t>
  </si>
  <si>
    <t>◎ PIPE규격 조견표</t>
    <phoneticPr fontId="1" type="noConversion"/>
  </si>
  <si>
    <t>www.hpengineering.kr</t>
    <phoneticPr fontId="1" type="noConversion"/>
  </si>
  <si>
    <t>㈜에이치피 엔지니어링</t>
    <phoneticPr fontId="1" type="noConversion"/>
  </si>
  <si>
    <t>Tel. 055-715-6768 FAX. 07075436760</t>
    <phoneticPr fontId="1" type="noConversion"/>
  </si>
  <si>
    <t>경상남도 창원시 의창구 원이대로 271, 3층 322호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</si>
</sst>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.0_ "/>
    <numFmt numFmtId="178" formatCode="#,##0.00_ "/>
    <numFmt numFmtId="179" formatCode="#,##0.000_ "/>
  </numFmts>
  <fonts count="20">
    <font>
      <sz val="10"/>
      <name val="굴림체"/>
      <family val="3"/>
      <charset val="129"/>
    </font>
    <font>
      <sz val="8"/>
      <name val="굴림체"/>
      <family val="3"/>
      <charset val="129"/>
    </font>
    <font>
      <sz val="9"/>
      <name val="가는으뜸체"/>
      <family val="1"/>
      <charset val="129"/>
    </font>
    <font>
      <b/>
      <sz val="14"/>
      <name val="가는으뜸체"/>
      <family val="1"/>
      <charset val="129"/>
    </font>
    <font>
      <b/>
      <sz val="9"/>
      <name val="가는으뜸체"/>
      <family val="1"/>
      <charset val="129"/>
    </font>
    <font>
      <sz val="12"/>
      <name val="가는으뜸체"/>
      <family val="1"/>
      <charset val="129"/>
    </font>
    <font>
      <sz val="11"/>
      <name val="가는으뜸체"/>
      <family val="1"/>
      <charset val="129"/>
    </font>
    <font>
      <b/>
      <sz val="11"/>
      <name val="가는으뜸체"/>
      <family val="1"/>
      <charset val="129"/>
    </font>
    <font>
      <b/>
      <sz val="20"/>
      <color indexed="18"/>
      <name val="HY견명조"/>
      <family val="1"/>
      <charset val="129"/>
    </font>
    <font>
      <b/>
      <sz val="18"/>
      <name val="Verdana"/>
      <family val="2"/>
    </font>
    <font>
      <sz val="11"/>
      <name val="HY견명조"/>
      <family val="1"/>
      <charset val="129"/>
    </font>
    <font>
      <b/>
      <sz val="12"/>
      <name val="HY견명조"/>
      <family val="1"/>
      <charset val="129"/>
    </font>
    <font>
      <b/>
      <sz val="12"/>
      <name val="가는으뜸체"/>
      <family val="1"/>
      <charset val="129"/>
    </font>
    <font>
      <b/>
      <sz val="13"/>
      <name val="HY견명조"/>
      <family val="1"/>
      <charset val="129"/>
    </font>
    <font>
      <b/>
      <sz val="26"/>
      <color indexed="12"/>
      <name val="HY견명조"/>
      <family val="1"/>
      <charset val="129"/>
    </font>
    <font>
      <i/>
      <sz val="20"/>
      <name val="HY견명조"/>
      <family val="1"/>
      <charset val="129"/>
    </font>
    <font>
      <sz val="9"/>
      <name val="HY견명조"/>
      <family val="1"/>
      <charset val="129"/>
    </font>
    <font>
      <u/>
      <sz val="10"/>
      <color theme="10"/>
      <name val="굴림체"/>
      <family val="3"/>
      <charset val="129"/>
    </font>
    <font>
      <u/>
      <sz val="24"/>
      <color theme="10"/>
      <name val="굴림체"/>
      <family val="3"/>
      <charset val="129"/>
    </font>
    <font>
      <b/>
      <sz val="12"/>
      <name val="맑은 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CCFFFF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76" fontId="2" fillId="0" borderId="1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176" fontId="2" fillId="0" borderId="4" xfId="0" applyNumberFormat="1" applyFont="1" applyBorder="1">
      <alignment vertical="center"/>
    </xf>
    <xf numFmtId="176" fontId="4" fillId="0" borderId="0" xfId="0" applyNumberFormat="1" applyFont="1" applyAlignment="1">
      <alignment horizontal="center" vertical="center"/>
    </xf>
    <xf numFmtId="176" fontId="2" fillId="0" borderId="5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6" fillId="0" borderId="10" xfId="0" applyNumberFormat="1" applyFont="1" applyBorder="1" applyAlignment="1">
      <alignment horizontal="center" vertical="center"/>
    </xf>
    <xf numFmtId="176" fontId="6" fillId="0" borderId="11" xfId="0" quotePrefix="1" applyNumberFormat="1" applyFont="1" applyBorder="1">
      <alignment vertical="center"/>
    </xf>
    <xf numFmtId="178" fontId="6" fillId="0" borderId="10" xfId="0" applyNumberFormat="1" applyFont="1" applyBorder="1">
      <alignment vertical="center"/>
    </xf>
    <xf numFmtId="178" fontId="6" fillId="0" borderId="13" xfId="0" applyNumberFormat="1" applyFont="1" applyBorder="1">
      <alignment vertical="center"/>
    </xf>
    <xf numFmtId="178" fontId="6" fillId="0" borderId="14" xfId="0" applyNumberFormat="1" applyFont="1" applyBorder="1">
      <alignment vertical="center"/>
    </xf>
    <xf numFmtId="178" fontId="6" fillId="0" borderId="12" xfId="0" applyNumberFormat="1" applyFont="1" applyBorder="1">
      <alignment vertical="center"/>
    </xf>
    <xf numFmtId="176" fontId="6" fillId="0" borderId="15" xfId="0" applyNumberFormat="1" applyFont="1" applyBorder="1" applyAlignment="1">
      <alignment horizontal="center" vertical="center"/>
    </xf>
    <xf numFmtId="176" fontId="6" fillId="0" borderId="16" xfId="0" quotePrefix="1" applyNumberFormat="1" applyFont="1" applyBorder="1">
      <alignment vertical="center"/>
    </xf>
    <xf numFmtId="178" fontId="6" fillId="0" borderId="15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19" xfId="0" applyNumberFormat="1" applyFont="1" applyBorder="1">
      <alignment vertical="center"/>
    </xf>
    <xf numFmtId="178" fontId="6" fillId="0" borderId="17" xfId="0" applyNumberFormat="1" applyFont="1" applyBorder="1">
      <alignment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21" xfId="0" quotePrefix="1" applyNumberFormat="1" applyFont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24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quotePrefix="1" applyNumberFormat="1" applyFont="1" applyBorder="1">
      <alignment vertical="center"/>
    </xf>
    <xf numFmtId="178" fontId="6" fillId="0" borderId="25" xfId="0" applyNumberFormat="1" applyFont="1" applyBorder="1">
      <alignment vertical="center"/>
    </xf>
    <xf numFmtId="178" fontId="6" fillId="0" borderId="28" xfId="0" applyNumberFormat="1" applyFont="1" applyBorder="1">
      <alignment vertical="center"/>
    </xf>
    <xf numFmtId="178" fontId="6" fillId="0" borderId="27" xfId="0" applyNumberFormat="1" applyFont="1" applyBorder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quotePrefix="1" applyNumberFormat="1" applyFont="1" applyBorder="1" applyAlignment="1">
      <alignment horizontal="center" vertical="center"/>
    </xf>
    <xf numFmtId="177" fontId="6" fillId="0" borderId="29" xfId="0" applyNumberFormat="1" applyFont="1" applyBorder="1">
      <alignment vertical="center"/>
    </xf>
    <xf numFmtId="177" fontId="6" fillId="0" borderId="33" xfId="0" applyNumberFormat="1" applyFont="1" applyBorder="1">
      <alignment vertical="center"/>
    </xf>
    <xf numFmtId="179" fontId="6" fillId="0" borderId="32" xfId="0" applyNumberFormat="1" applyFont="1" applyBorder="1">
      <alignment vertical="center"/>
    </xf>
    <xf numFmtId="179" fontId="6" fillId="0" borderId="31" xfId="0" applyNumberFormat="1" applyFont="1" applyBorder="1">
      <alignment vertical="center"/>
    </xf>
    <xf numFmtId="176" fontId="6" fillId="0" borderId="11" xfId="0" quotePrefix="1" applyNumberFormat="1" applyFont="1" applyBorder="1" applyAlignment="1">
      <alignment horizontal="center" vertical="center"/>
    </xf>
    <xf numFmtId="177" fontId="6" fillId="0" borderId="10" xfId="0" applyNumberFormat="1" applyFont="1" applyBorder="1">
      <alignment vertical="center"/>
    </xf>
    <xf numFmtId="177" fontId="6" fillId="0" borderId="14" xfId="0" applyNumberFormat="1" applyFont="1" applyBorder="1">
      <alignment vertical="center"/>
    </xf>
    <xf numFmtId="179" fontId="6" fillId="0" borderId="13" xfId="0" applyNumberFormat="1" applyFont="1" applyBorder="1">
      <alignment vertical="center"/>
    </xf>
    <xf numFmtId="179" fontId="6" fillId="0" borderId="34" xfId="0" applyNumberFormat="1" applyFont="1" applyBorder="1">
      <alignment vertical="center"/>
    </xf>
    <xf numFmtId="176" fontId="6" fillId="0" borderId="34" xfId="0" applyNumberFormat="1" applyFont="1" applyBorder="1">
      <alignment vertical="center"/>
    </xf>
    <xf numFmtId="176" fontId="6" fillId="0" borderId="35" xfId="0" applyNumberFormat="1" applyFont="1" applyBorder="1">
      <alignment vertical="center"/>
    </xf>
    <xf numFmtId="176" fontId="6" fillId="0" borderId="16" xfId="0" quotePrefix="1" applyNumberFormat="1" applyFont="1" applyBorder="1" applyAlignment="1">
      <alignment horizontal="center" vertical="center"/>
    </xf>
    <xf numFmtId="177" fontId="6" fillId="0" borderId="15" xfId="0" applyNumberFormat="1" applyFont="1" applyBorder="1">
      <alignment vertical="center"/>
    </xf>
    <xf numFmtId="177" fontId="6" fillId="0" borderId="36" xfId="0" applyNumberFormat="1" applyFont="1" applyBorder="1">
      <alignment vertical="center"/>
    </xf>
    <xf numFmtId="177" fontId="6" fillId="0" borderId="19" xfId="0" applyNumberFormat="1" applyFont="1" applyBorder="1">
      <alignment vertical="center"/>
    </xf>
    <xf numFmtId="176" fontId="6" fillId="0" borderId="19" xfId="0" applyNumberFormat="1" applyFont="1" applyBorder="1">
      <alignment vertical="center"/>
    </xf>
    <xf numFmtId="176" fontId="6" fillId="0" borderId="18" xfId="0" applyNumberFormat="1" applyFont="1" applyBorder="1">
      <alignment vertical="center"/>
    </xf>
    <xf numFmtId="176" fontId="6" fillId="0" borderId="21" xfId="0" quotePrefix="1" applyNumberFormat="1" applyFont="1" applyBorder="1" applyAlignment="1">
      <alignment horizontal="center" vertical="center"/>
    </xf>
    <xf numFmtId="177" fontId="6" fillId="0" borderId="20" xfId="0" applyNumberFormat="1" applyFont="1" applyBorder="1">
      <alignment vertical="center"/>
    </xf>
    <xf numFmtId="177" fontId="6" fillId="0" borderId="37" xfId="0" applyNumberFormat="1" applyFont="1" applyBorder="1">
      <alignment vertical="center"/>
    </xf>
    <xf numFmtId="177" fontId="6" fillId="0" borderId="24" xfId="0" applyNumberFormat="1" applyFont="1" applyBorder="1">
      <alignment vertical="center"/>
    </xf>
    <xf numFmtId="176" fontId="6" fillId="0" borderId="24" xfId="0" applyNumberFormat="1" applyFont="1" applyBorder="1">
      <alignment vertical="center"/>
    </xf>
    <xf numFmtId="176" fontId="6" fillId="0" borderId="23" xfId="0" applyNumberFormat="1" applyFont="1" applyBorder="1">
      <alignment vertical="center"/>
    </xf>
    <xf numFmtId="177" fontId="6" fillId="0" borderId="38" xfId="0" applyNumberFormat="1" applyFont="1" applyBorder="1">
      <alignment vertical="center"/>
    </xf>
    <xf numFmtId="176" fontId="6" fillId="0" borderId="14" xfId="0" applyNumberFormat="1" applyFont="1" applyBorder="1">
      <alignment vertical="center"/>
    </xf>
    <xf numFmtId="176" fontId="6" fillId="0" borderId="13" xfId="0" applyNumberFormat="1" applyFont="1" applyBorder="1">
      <alignment vertical="center"/>
    </xf>
    <xf numFmtId="177" fontId="6" fillId="0" borderId="13" xfId="0" applyNumberFormat="1" applyFont="1" applyBorder="1">
      <alignment vertical="center"/>
    </xf>
    <xf numFmtId="177" fontId="6" fillId="0" borderId="1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6" fontId="6" fillId="0" borderId="26" xfId="0" quotePrefix="1" applyNumberFormat="1" applyFont="1" applyBorder="1" applyAlignment="1">
      <alignment horizontal="center" vertical="center"/>
    </xf>
    <xf numFmtId="177" fontId="6" fillId="0" borderId="25" xfId="0" applyNumberFormat="1" applyFont="1" applyBorder="1">
      <alignment vertical="center"/>
    </xf>
    <xf numFmtId="177" fontId="6" fillId="0" borderId="9" xfId="0" applyNumberFormat="1" applyFont="1" applyBorder="1">
      <alignment vertical="center"/>
    </xf>
    <xf numFmtId="177" fontId="6" fillId="0" borderId="39" xfId="0" applyNumberFormat="1" applyFont="1" applyBorder="1">
      <alignment vertical="center"/>
    </xf>
    <xf numFmtId="177" fontId="6" fillId="0" borderId="28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9" fillId="0" borderId="40" xfId="0" applyNumberFormat="1" applyFont="1" applyBorder="1" applyAlignment="1">
      <alignment horizontal="center" vertical="center"/>
    </xf>
    <xf numFmtId="176" fontId="10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6" fontId="6" fillId="0" borderId="10" xfId="0" quotePrefix="1" applyNumberFormat="1" applyFont="1" applyBorder="1" applyAlignment="1">
      <alignment horizontal="center" vertical="center"/>
    </xf>
    <xf numFmtId="178" fontId="6" fillId="0" borderId="0" xfId="0" applyNumberFormat="1" applyFont="1">
      <alignment vertical="center"/>
    </xf>
    <xf numFmtId="179" fontId="6" fillId="0" borderId="30" xfId="0" applyNumberFormat="1" applyFont="1" applyBorder="1">
      <alignment vertical="center"/>
    </xf>
    <xf numFmtId="179" fontId="6" fillId="0" borderId="11" xfId="0" applyNumberFormat="1" applyFont="1" applyBorder="1">
      <alignment vertical="center"/>
    </xf>
    <xf numFmtId="178" fontId="6" fillId="0" borderId="16" xfId="0" applyNumberFormat="1" applyFont="1" applyBorder="1">
      <alignment vertical="center"/>
    </xf>
    <xf numFmtId="178" fontId="6" fillId="0" borderId="21" xfId="0" applyNumberFormat="1" applyFont="1" applyBorder="1">
      <alignment vertical="center"/>
    </xf>
    <xf numFmtId="177" fontId="6" fillId="0" borderId="11" xfId="0" applyNumberFormat="1" applyFont="1" applyBorder="1">
      <alignment vertical="center"/>
    </xf>
    <xf numFmtId="178" fontId="6" fillId="0" borderId="11" xfId="0" applyNumberFormat="1" applyFont="1" applyBorder="1">
      <alignment vertical="center"/>
    </xf>
    <xf numFmtId="177" fontId="6" fillId="0" borderId="32" xfId="0" applyNumberFormat="1" applyFont="1" applyBorder="1">
      <alignment vertical="center"/>
    </xf>
    <xf numFmtId="177" fontId="6" fillId="0" borderId="47" xfId="0" applyNumberFormat="1" applyFont="1" applyBorder="1">
      <alignment vertical="center"/>
    </xf>
    <xf numFmtId="176" fontId="9" fillId="0" borderId="0" xfId="0" applyNumberFormat="1" applyFont="1" applyAlignment="1">
      <alignment horizontal="center" vertical="center"/>
    </xf>
    <xf numFmtId="177" fontId="6" fillId="0" borderId="31" xfId="0" applyNumberFormat="1" applyFont="1" applyBorder="1">
      <alignment vertical="center"/>
    </xf>
    <xf numFmtId="177" fontId="6" fillId="0" borderId="12" xfId="0" applyNumberFormat="1" applyFont="1" applyBorder="1">
      <alignment vertical="center"/>
    </xf>
    <xf numFmtId="177" fontId="6" fillId="0" borderId="17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176" fontId="11" fillId="0" borderId="0" xfId="0" applyNumberFormat="1" applyFont="1" applyAlignment="1">
      <alignment horizontal="center" vertical="center"/>
    </xf>
    <xf numFmtId="177" fontId="6" fillId="0" borderId="26" xfId="0" applyNumberFormat="1" applyFont="1" applyBorder="1">
      <alignment vertical="center"/>
    </xf>
    <xf numFmtId="177" fontId="6" fillId="0" borderId="52" xfId="0" applyNumberFormat="1" applyFont="1" applyBorder="1">
      <alignment vertical="center"/>
    </xf>
    <xf numFmtId="176" fontId="4" fillId="0" borderId="4" xfId="0" applyNumberFormat="1" applyFont="1" applyBorder="1" applyAlignment="1">
      <alignment horizontal="center" vertical="center"/>
    </xf>
    <xf numFmtId="176" fontId="11" fillId="0" borderId="53" xfId="0" applyNumberFormat="1" applyFont="1" applyBorder="1" applyAlignment="1">
      <alignment horizontal="center" vertical="center"/>
    </xf>
    <xf numFmtId="176" fontId="9" fillId="0" borderId="5" xfId="0" applyNumberFormat="1" applyFont="1" applyBorder="1">
      <alignment vertical="center"/>
    </xf>
    <xf numFmtId="176" fontId="5" fillId="0" borderId="4" xfId="0" applyNumberFormat="1" applyFont="1" applyBorder="1">
      <alignment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10" fillId="0" borderId="7" xfId="0" applyNumberFormat="1" applyFont="1" applyBorder="1">
      <alignment vertical="center"/>
    </xf>
    <xf numFmtId="176" fontId="9" fillId="0" borderId="7" xfId="0" applyNumberFormat="1" applyFont="1" applyBorder="1">
      <alignment vertical="center"/>
    </xf>
    <xf numFmtId="176" fontId="9" fillId="0" borderId="8" xfId="0" applyNumberFormat="1" applyFont="1" applyBorder="1">
      <alignment vertical="center"/>
    </xf>
    <xf numFmtId="176" fontId="11" fillId="0" borderId="0" xfId="0" applyNumberFormat="1" applyFont="1">
      <alignment vertical="center"/>
    </xf>
    <xf numFmtId="0" fontId="15" fillId="0" borderId="0" xfId="0" applyFont="1">
      <alignment vertical="center"/>
    </xf>
    <xf numFmtId="176" fontId="7" fillId="0" borderId="40" xfId="0" applyNumberFormat="1" applyFont="1" applyBorder="1">
      <alignment vertical="center"/>
    </xf>
    <xf numFmtId="178" fontId="10" fillId="0" borderId="0" xfId="0" applyNumberFormat="1" applyFont="1">
      <alignment vertical="center"/>
    </xf>
    <xf numFmtId="176" fontId="16" fillId="0" borderId="5" xfId="0" applyNumberFormat="1" applyFont="1" applyBorder="1">
      <alignment vertical="center"/>
    </xf>
    <xf numFmtId="178" fontId="10" fillId="0" borderId="40" xfId="0" applyNumberFormat="1" applyFont="1" applyBorder="1">
      <alignment vertical="center"/>
    </xf>
    <xf numFmtId="178" fontId="10" fillId="0" borderId="5" xfId="0" applyNumberFormat="1" applyFont="1" applyBorder="1">
      <alignment vertical="center"/>
    </xf>
    <xf numFmtId="178" fontId="10" fillId="0" borderId="54" xfId="0" applyNumberFormat="1" applyFont="1" applyBorder="1">
      <alignment vertical="center"/>
    </xf>
    <xf numFmtId="178" fontId="10" fillId="0" borderId="55" xfId="0" applyNumberFormat="1" applyFont="1" applyBorder="1">
      <alignment vertical="center"/>
    </xf>
    <xf numFmtId="178" fontId="10" fillId="0" borderId="56" xfId="0" applyNumberFormat="1" applyFont="1" applyBorder="1">
      <alignment vertical="center"/>
    </xf>
    <xf numFmtId="178" fontId="10" fillId="0" borderId="57" xfId="0" applyNumberFormat="1" applyFont="1" applyBorder="1">
      <alignment vertical="center"/>
    </xf>
    <xf numFmtId="178" fontId="10" fillId="0" borderId="58" xfId="0" applyNumberFormat="1" applyFont="1" applyBorder="1">
      <alignment vertical="center"/>
    </xf>
    <xf numFmtId="178" fontId="10" fillId="0" borderId="34" xfId="0" applyNumberFormat="1" applyFont="1" applyBorder="1">
      <alignment vertical="center"/>
    </xf>
    <xf numFmtId="178" fontId="10" fillId="0" borderId="59" xfId="0" applyNumberFormat="1" applyFont="1" applyBorder="1">
      <alignment vertical="center"/>
    </xf>
    <xf numFmtId="178" fontId="10" fillId="0" borderId="60" xfId="0" applyNumberFormat="1" applyFont="1" applyBorder="1">
      <alignment vertical="center"/>
    </xf>
    <xf numFmtId="178" fontId="10" fillId="0" borderId="61" xfId="0" applyNumberFormat="1" applyFont="1" applyBorder="1">
      <alignment vertical="center"/>
    </xf>
    <xf numFmtId="178" fontId="10" fillId="0" borderId="4" xfId="0" applyNumberFormat="1" applyFont="1" applyBorder="1">
      <alignment vertical="center"/>
    </xf>
    <xf numFmtId="178" fontId="10" fillId="0" borderId="62" xfId="0" applyNumberFormat="1" applyFont="1" applyBorder="1">
      <alignment vertical="center"/>
    </xf>
    <xf numFmtId="178" fontId="10" fillId="0" borderId="35" xfId="0" applyNumberFormat="1" applyFont="1" applyBorder="1">
      <alignment vertical="center"/>
    </xf>
    <xf numFmtId="178" fontId="10" fillId="0" borderId="63" xfId="0" applyNumberFormat="1" applyFont="1" applyBorder="1">
      <alignment vertical="center"/>
    </xf>
    <xf numFmtId="178" fontId="10" fillId="0" borderId="64" xfId="0" applyNumberFormat="1" applyFont="1" applyBorder="1">
      <alignment vertical="center"/>
    </xf>
    <xf numFmtId="178" fontId="10" fillId="0" borderId="65" xfId="0" applyNumberFormat="1" applyFont="1" applyBorder="1">
      <alignment vertical="center"/>
    </xf>
    <xf numFmtId="178" fontId="10" fillId="0" borderId="66" xfId="0" applyNumberFormat="1" applyFont="1" applyBorder="1">
      <alignment vertical="center"/>
    </xf>
    <xf numFmtId="178" fontId="10" fillId="0" borderId="67" xfId="0" applyNumberFormat="1" applyFont="1" applyBorder="1">
      <alignment vertical="center"/>
    </xf>
    <xf numFmtId="178" fontId="10" fillId="0" borderId="68" xfId="0" applyNumberFormat="1" applyFont="1" applyBorder="1">
      <alignment vertical="center"/>
    </xf>
    <xf numFmtId="178" fontId="10" fillId="0" borderId="69" xfId="0" applyNumberFormat="1" applyFont="1" applyBorder="1">
      <alignment vertical="center"/>
    </xf>
    <xf numFmtId="178" fontId="10" fillId="0" borderId="70" xfId="0" applyNumberFormat="1" applyFont="1" applyBorder="1">
      <alignment vertical="center"/>
    </xf>
    <xf numFmtId="178" fontId="10" fillId="0" borderId="71" xfId="0" applyNumberFormat="1" applyFont="1" applyBorder="1">
      <alignment vertical="center"/>
    </xf>
    <xf numFmtId="178" fontId="10" fillId="0" borderId="72" xfId="0" applyNumberFormat="1" applyFont="1" applyBorder="1">
      <alignment vertical="center"/>
    </xf>
    <xf numFmtId="178" fontId="10" fillId="0" borderId="73" xfId="0" applyNumberFormat="1" applyFont="1" applyBorder="1">
      <alignment vertical="center"/>
    </xf>
    <xf numFmtId="178" fontId="10" fillId="0" borderId="7" xfId="0" applyNumberFormat="1" applyFont="1" applyBorder="1">
      <alignment vertical="center"/>
    </xf>
    <xf numFmtId="178" fontId="10" fillId="0" borderId="8" xfId="0" applyNumberFormat="1" applyFont="1" applyBorder="1">
      <alignment vertical="center"/>
    </xf>
    <xf numFmtId="178" fontId="10" fillId="0" borderId="6" xfId="0" applyNumberFormat="1" applyFont="1" applyBorder="1">
      <alignment vertical="center"/>
    </xf>
    <xf numFmtId="178" fontId="10" fillId="0" borderId="74" xfId="0" applyNumberFormat="1" applyFont="1" applyBorder="1">
      <alignment vertical="center"/>
    </xf>
    <xf numFmtId="178" fontId="10" fillId="0" borderId="75" xfId="0" applyNumberFormat="1" applyFont="1" applyBorder="1">
      <alignment vertical="center"/>
    </xf>
    <xf numFmtId="178" fontId="10" fillId="0" borderId="76" xfId="0" applyNumberFormat="1" applyFont="1" applyBorder="1">
      <alignment vertical="center"/>
    </xf>
    <xf numFmtId="178" fontId="10" fillId="0" borderId="77" xfId="0" applyNumberFormat="1" applyFont="1" applyBorder="1">
      <alignment vertical="center"/>
    </xf>
    <xf numFmtId="178" fontId="6" fillId="0" borderId="9" xfId="0" applyNumberFormat="1" applyFont="1" applyBorder="1">
      <alignment vertical="center"/>
    </xf>
    <xf numFmtId="176" fontId="7" fillId="3" borderId="41" xfId="0" applyNumberFormat="1" applyFont="1" applyFill="1" applyBorder="1" applyAlignment="1">
      <alignment horizontal="center" vertical="center"/>
    </xf>
    <xf numFmtId="176" fontId="7" fillId="3" borderId="42" xfId="0" applyNumberFormat="1" applyFont="1" applyFill="1" applyBorder="1" applyAlignment="1">
      <alignment horizontal="center" vertical="center"/>
    </xf>
    <xf numFmtId="176" fontId="7" fillId="3" borderId="43" xfId="0" applyNumberFormat="1" applyFont="1" applyFill="1" applyBorder="1" applyAlignment="1">
      <alignment horizontal="center" vertical="center"/>
    </xf>
    <xf numFmtId="177" fontId="6" fillId="3" borderId="12" xfId="0" applyNumberFormat="1" applyFont="1" applyFill="1" applyBorder="1">
      <alignment vertical="center"/>
    </xf>
    <xf numFmtId="177" fontId="6" fillId="3" borderId="17" xfId="0" applyNumberFormat="1" applyFont="1" applyFill="1" applyBorder="1">
      <alignment vertical="center"/>
    </xf>
    <xf numFmtId="177" fontId="6" fillId="3" borderId="22" xfId="0" applyNumberFormat="1" applyFont="1" applyFill="1" applyBorder="1">
      <alignment vertical="center"/>
    </xf>
    <xf numFmtId="177" fontId="6" fillId="3" borderId="27" xfId="0" applyNumberFormat="1" applyFont="1" applyFill="1" applyBorder="1">
      <alignment vertical="center"/>
    </xf>
    <xf numFmtId="178" fontId="6" fillId="3" borderId="13" xfId="0" applyNumberFormat="1" applyFont="1" applyFill="1" applyBorder="1">
      <alignment vertical="center"/>
    </xf>
    <xf numFmtId="178" fontId="6" fillId="3" borderId="18" xfId="0" applyNumberFormat="1" applyFont="1" applyFill="1" applyBorder="1">
      <alignment vertical="center"/>
    </xf>
    <xf numFmtId="178" fontId="6" fillId="3" borderId="23" xfId="0" applyNumberFormat="1" applyFont="1" applyFill="1" applyBorder="1">
      <alignment vertical="center"/>
    </xf>
    <xf numFmtId="178" fontId="6" fillId="3" borderId="9" xfId="0" applyNumberFormat="1" applyFont="1" applyFill="1" applyBorder="1">
      <alignment vertical="center"/>
    </xf>
    <xf numFmtId="178" fontId="6" fillId="3" borderId="22" xfId="0" applyNumberFormat="1" applyFont="1" applyFill="1" applyBorder="1">
      <alignment vertical="center"/>
    </xf>
    <xf numFmtId="178" fontId="6" fillId="3" borderId="12" xfId="0" applyNumberFormat="1" applyFont="1" applyFill="1" applyBorder="1">
      <alignment vertical="center"/>
    </xf>
    <xf numFmtId="178" fontId="6" fillId="3" borderId="17" xfId="0" applyNumberFormat="1" applyFont="1" applyFill="1" applyBorder="1">
      <alignment vertical="center"/>
    </xf>
    <xf numFmtId="177" fontId="6" fillId="3" borderId="31" xfId="0" applyNumberFormat="1" applyFont="1" applyFill="1" applyBorder="1">
      <alignment vertical="center"/>
    </xf>
    <xf numFmtId="179" fontId="6" fillId="3" borderId="32" xfId="0" applyNumberFormat="1" applyFont="1" applyFill="1" applyBorder="1">
      <alignment vertical="center"/>
    </xf>
    <xf numFmtId="179" fontId="6" fillId="3" borderId="13" xfId="0" applyNumberFormat="1" applyFont="1" applyFill="1" applyBorder="1">
      <alignment vertical="center"/>
    </xf>
    <xf numFmtId="177" fontId="6" fillId="3" borderId="13" xfId="0" applyNumberFormat="1" applyFont="1" applyFill="1" applyBorder="1">
      <alignment vertical="center"/>
    </xf>
    <xf numFmtId="177" fontId="6" fillId="3" borderId="18" xfId="0" applyNumberFormat="1" applyFont="1" applyFill="1" applyBorder="1">
      <alignment vertical="center"/>
    </xf>
    <xf numFmtId="177" fontId="6" fillId="3" borderId="23" xfId="0" applyNumberFormat="1" applyFont="1" applyFill="1" applyBorder="1">
      <alignment vertical="center"/>
    </xf>
    <xf numFmtId="177" fontId="6" fillId="3" borderId="9" xfId="0" applyNumberFormat="1" applyFont="1" applyFill="1" applyBorder="1">
      <alignment vertical="center"/>
    </xf>
    <xf numFmtId="179" fontId="6" fillId="3" borderId="34" xfId="0" applyNumberFormat="1" applyFont="1" applyFill="1" applyBorder="1">
      <alignment vertical="center"/>
    </xf>
    <xf numFmtId="176" fontId="7" fillId="3" borderId="44" xfId="0" quotePrefix="1" applyNumberFormat="1" applyFont="1" applyFill="1" applyBorder="1" applyAlignment="1">
      <alignment horizontal="center" vertical="center"/>
    </xf>
    <xf numFmtId="176" fontId="7" fillId="3" borderId="46" xfId="0" quotePrefix="1" applyNumberFormat="1" applyFont="1" applyFill="1" applyBorder="1" applyAlignment="1">
      <alignment horizontal="center" vertical="center"/>
    </xf>
    <xf numFmtId="176" fontId="7" fillId="3" borderId="45" xfId="0" quotePrefix="1" applyNumberFormat="1" applyFont="1" applyFill="1" applyBorder="1" applyAlignment="1">
      <alignment horizontal="center" vertical="center"/>
    </xf>
    <xf numFmtId="176" fontId="7" fillId="3" borderId="51" xfId="0" quotePrefix="1" applyNumberFormat="1" applyFont="1" applyFill="1" applyBorder="1" applyAlignment="1">
      <alignment horizontal="center" vertical="center"/>
    </xf>
    <xf numFmtId="179" fontId="6" fillId="3" borderId="30" xfId="0" applyNumberFormat="1" applyFont="1" applyFill="1" applyBorder="1">
      <alignment vertical="center"/>
    </xf>
    <xf numFmtId="179" fontId="6" fillId="3" borderId="48" xfId="0" applyNumberFormat="1" applyFont="1" applyFill="1" applyBorder="1">
      <alignment vertical="center"/>
    </xf>
    <xf numFmtId="179" fontId="6" fillId="3" borderId="11" xfId="0" applyNumberFormat="1" applyFont="1" applyFill="1" applyBorder="1">
      <alignment vertical="center"/>
    </xf>
    <xf numFmtId="179" fontId="6" fillId="3" borderId="47" xfId="0" applyNumberFormat="1" applyFont="1" applyFill="1" applyBorder="1">
      <alignment vertical="center"/>
    </xf>
    <xf numFmtId="179" fontId="6" fillId="3" borderId="16" xfId="0" applyNumberFormat="1" applyFont="1" applyFill="1" applyBorder="1">
      <alignment vertical="center"/>
    </xf>
    <xf numFmtId="179" fontId="6" fillId="3" borderId="49" xfId="0" applyNumberFormat="1" applyFont="1" applyFill="1" applyBorder="1">
      <alignment vertical="center"/>
    </xf>
    <xf numFmtId="179" fontId="6" fillId="3" borderId="21" xfId="0" applyNumberFormat="1" applyFont="1" applyFill="1" applyBorder="1">
      <alignment vertical="center"/>
    </xf>
    <xf numFmtId="179" fontId="6" fillId="3" borderId="50" xfId="0" applyNumberFormat="1" applyFont="1" applyFill="1" applyBorder="1">
      <alignment vertical="center"/>
    </xf>
    <xf numFmtId="178" fontId="6" fillId="3" borderId="11" xfId="0" applyNumberFormat="1" applyFont="1" applyFill="1" applyBorder="1">
      <alignment vertical="center"/>
    </xf>
    <xf numFmtId="178" fontId="6" fillId="3" borderId="47" xfId="0" applyNumberFormat="1" applyFont="1" applyFill="1" applyBorder="1">
      <alignment vertical="center"/>
    </xf>
    <xf numFmtId="178" fontId="6" fillId="3" borderId="16" xfId="0" applyNumberFormat="1" applyFont="1" applyFill="1" applyBorder="1">
      <alignment vertical="center"/>
    </xf>
    <xf numFmtId="178" fontId="6" fillId="3" borderId="49" xfId="0" applyNumberFormat="1" applyFont="1" applyFill="1" applyBorder="1">
      <alignment vertical="center"/>
    </xf>
    <xf numFmtId="178" fontId="6" fillId="3" borderId="21" xfId="0" applyNumberFormat="1" applyFont="1" applyFill="1" applyBorder="1">
      <alignment vertical="center"/>
    </xf>
    <xf numFmtId="178" fontId="6" fillId="3" borderId="50" xfId="0" applyNumberFormat="1" applyFont="1" applyFill="1" applyBorder="1">
      <alignment vertical="center"/>
    </xf>
    <xf numFmtId="177" fontId="6" fillId="3" borderId="11" xfId="0" applyNumberFormat="1" applyFont="1" applyFill="1" applyBorder="1">
      <alignment vertical="center"/>
    </xf>
    <xf numFmtId="177" fontId="6" fillId="3" borderId="47" xfId="0" applyNumberFormat="1" applyFont="1" applyFill="1" applyBorder="1">
      <alignment vertical="center"/>
    </xf>
    <xf numFmtId="177" fontId="6" fillId="3" borderId="16" xfId="0" applyNumberFormat="1" applyFont="1" applyFill="1" applyBorder="1">
      <alignment vertical="center"/>
    </xf>
    <xf numFmtId="177" fontId="6" fillId="3" borderId="49" xfId="0" applyNumberFormat="1" applyFont="1" applyFill="1" applyBorder="1">
      <alignment vertical="center"/>
    </xf>
    <xf numFmtId="177" fontId="6" fillId="3" borderId="21" xfId="0" applyNumberFormat="1" applyFont="1" applyFill="1" applyBorder="1">
      <alignment vertical="center"/>
    </xf>
    <xf numFmtId="177" fontId="6" fillId="3" borderId="50" xfId="0" applyNumberFormat="1" applyFont="1" applyFill="1" applyBorder="1">
      <alignment vertical="center"/>
    </xf>
    <xf numFmtId="179" fontId="6" fillId="3" borderId="18" xfId="0" applyNumberFormat="1" applyFont="1" applyFill="1" applyBorder="1">
      <alignment vertical="center"/>
    </xf>
    <xf numFmtId="177" fontId="6" fillId="3" borderId="26" xfId="0" applyNumberFormat="1" applyFont="1" applyFill="1" applyBorder="1">
      <alignment vertical="center"/>
    </xf>
    <xf numFmtId="178" fontId="6" fillId="3" borderId="27" xfId="0" applyNumberFormat="1" applyFont="1" applyFill="1" applyBorder="1">
      <alignment vertical="center"/>
    </xf>
    <xf numFmtId="176" fontId="7" fillId="3" borderId="81" xfId="0" applyNumberFormat="1" applyFont="1" applyFill="1" applyBorder="1" applyAlignment="1">
      <alignment horizontal="center" vertical="center"/>
    </xf>
    <xf numFmtId="176" fontId="7" fillId="3" borderId="78" xfId="0" applyNumberFormat="1" applyFont="1" applyFill="1" applyBorder="1" applyAlignment="1">
      <alignment horizontal="center" vertical="center"/>
    </xf>
    <xf numFmtId="176" fontId="7" fillId="3" borderId="80" xfId="0" applyNumberFormat="1" applyFont="1" applyFill="1" applyBorder="1" applyAlignment="1">
      <alignment horizontal="center" vertical="center"/>
    </xf>
    <xf numFmtId="176" fontId="3" fillId="2" borderId="82" xfId="0" applyNumberFormat="1" applyFont="1" applyFill="1" applyBorder="1" applyAlignment="1">
      <alignment horizontal="center" vertical="center"/>
    </xf>
    <xf numFmtId="176" fontId="3" fillId="2" borderId="83" xfId="0" applyNumberFormat="1" applyFont="1" applyFill="1" applyBorder="1" applyAlignment="1">
      <alignment horizontal="center" vertical="center"/>
    </xf>
    <xf numFmtId="176" fontId="3" fillId="2" borderId="84" xfId="0" applyNumberFormat="1" applyFont="1" applyFill="1" applyBorder="1" applyAlignment="1">
      <alignment horizontal="center" vertical="center"/>
    </xf>
    <xf numFmtId="176" fontId="7" fillId="3" borderId="79" xfId="0" applyNumberFormat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right" vertical="center"/>
    </xf>
    <xf numFmtId="176" fontId="12" fillId="0" borderId="0" xfId="0" applyNumberFormat="1" applyFont="1" applyAlignment="1">
      <alignment horizontal="right" vertical="center"/>
    </xf>
    <xf numFmtId="176" fontId="11" fillId="3" borderId="4" xfId="0" applyNumberFormat="1" applyFont="1" applyFill="1" applyBorder="1" applyAlignment="1">
      <alignment horizontal="center" vertical="center"/>
    </xf>
    <xf numFmtId="176" fontId="11" fillId="3" borderId="0" xfId="0" applyNumberFormat="1" applyFont="1" applyFill="1" applyAlignment="1">
      <alignment horizontal="center" vertical="center"/>
    </xf>
    <xf numFmtId="176" fontId="11" fillId="3" borderId="5" xfId="0" applyNumberFormat="1" applyFont="1" applyFill="1" applyBorder="1" applyAlignment="1">
      <alignment horizontal="center" vertical="center"/>
    </xf>
    <xf numFmtId="176" fontId="11" fillId="3" borderId="6" xfId="0" applyNumberFormat="1" applyFont="1" applyFill="1" applyBorder="1" applyAlignment="1">
      <alignment horizontal="center" vertical="center"/>
    </xf>
    <xf numFmtId="176" fontId="11" fillId="3" borderId="7" xfId="0" applyNumberFormat="1" applyFont="1" applyFill="1" applyBorder="1" applyAlignment="1">
      <alignment horizontal="center" vertical="center"/>
    </xf>
    <xf numFmtId="176" fontId="11" fillId="3" borderId="8" xfId="0" applyNumberFormat="1" applyFont="1" applyFill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7" fillId="3" borderId="99" xfId="0" applyNumberFormat="1" applyFont="1" applyFill="1" applyBorder="1" applyAlignment="1">
      <alignment horizontal="center" vertical="center"/>
    </xf>
    <xf numFmtId="176" fontId="7" fillId="3" borderId="100" xfId="0" applyNumberFormat="1" applyFont="1" applyFill="1" applyBorder="1" applyAlignment="1">
      <alignment horizontal="center" vertical="center"/>
    </xf>
    <xf numFmtId="176" fontId="7" fillId="3" borderId="101" xfId="0" applyNumberFormat="1" applyFont="1" applyFill="1" applyBorder="1" applyAlignment="1">
      <alignment horizontal="center" vertical="center"/>
    </xf>
    <xf numFmtId="176" fontId="7" fillId="3" borderId="108" xfId="0" applyNumberFormat="1" applyFont="1" applyFill="1" applyBorder="1" applyAlignment="1">
      <alignment horizontal="center" vertical="center"/>
    </xf>
    <xf numFmtId="176" fontId="7" fillId="3" borderId="102" xfId="0" applyNumberFormat="1" applyFont="1" applyFill="1" applyBorder="1" applyAlignment="1">
      <alignment horizontal="center" vertical="center"/>
    </xf>
    <xf numFmtId="176" fontId="7" fillId="3" borderId="71" xfId="0" applyNumberFormat="1" applyFont="1" applyFill="1" applyBorder="1" applyAlignment="1">
      <alignment horizontal="center" vertical="center"/>
    </xf>
    <xf numFmtId="176" fontId="7" fillId="3" borderId="69" xfId="0" applyNumberFormat="1" applyFont="1" applyFill="1" applyBorder="1" applyAlignment="1">
      <alignment horizontal="center" vertical="center"/>
    </xf>
    <xf numFmtId="176" fontId="7" fillId="3" borderId="70" xfId="0" applyNumberFormat="1" applyFont="1" applyFill="1" applyBorder="1" applyAlignment="1">
      <alignment horizontal="center" vertical="center"/>
    </xf>
    <xf numFmtId="176" fontId="7" fillId="3" borderId="72" xfId="0" applyNumberFormat="1" applyFont="1" applyFill="1" applyBorder="1" applyAlignment="1">
      <alignment horizontal="center" vertical="center"/>
    </xf>
    <xf numFmtId="176" fontId="3" fillId="2" borderId="104" xfId="0" applyNumberFormat="1" applyFont="1" applyFill="1" applyBorder="1" applyAlignment="1">
      <alignment horizontal="center" vertical="center"/>
    </xf>
    <xf numFmtId="176" fontId="3" fillId="2" borderId="105" xfId="0" applyNumberFormat="1" applyFont="1" applyFill="1" applyBorder="1" applyAlignment="1">
      <alignment horizontal="center" vertical="center"/>
    </xf>
    <xf numFmtId="176" fontId="3" fillId="2" borderId="106" xfId="0" applyNumberFormat="1" applyFont="1" applyFill="1" applyBorder="1" applyAlignment="1">
      <alignment horizontal="center" vertical="center"/>
    </xf>
    <xf numFmtId="176" fontId="3" fillId="2" borderId="54" xfId="0" applyNumberFormat="1" applyFont="1" applyFill="1" applyBorder="1" applyAlignment="1">
      <alignment horizontal="center" vertical="center"/>
    </xf>
    <xf numFmtId="176" fontId="3" fillId="2" borderId="55" xfId="0" applyNumberFormat="1" applyFont="1" applyFill="1" applyBorder="1" applyAlignment="1">
      <alignment horizontal="center" vertical="center"/>
    </xf>
    <xf numFmtId="176" fontId="3" fillId="2" borderId="107" xfId="0" applyNumberFormat="1" applyFont="1" applyFill="1" applyBorder="1" applyAlignment="1">
      <alignment horizontal="center" vertical="center"/>
    </xf>
    <xf numFmtId="176" fontId="7" fillId="3" borderId="93" xfId="0" applyNumberFormat="1" applyFont="1" applyFill="1" applyBorder="1" applyAlignment="1">
      <alignment horizontal="center" vertical="center"/>
    </xf>
    <xf numFmtId="176" fontId="7" fillId="3" borderId="94" xfId="0" applyNumberFormat="1" applyFont="1" applyFill="1" applyBorder="1" applyAlignment="1">
      <alignment horizontal="center" vertical="center"/>
    </xf>
    <xf numFmtId="176" fontId="7" fillId="3" borderId="95" xfId="0" applyNumberFormat="1" applyFont="1" applyFill="1" applyBorder="1" applyAlignment="1">
      <alignment horizontal="center" vertical="center"/>
    </xf>
    <xf numFmtId="176" fontId="7" fillId="3" borderId="96" xfId="0" applyNumberFormat="1" applyFont="1" applyFill="1" applyBorder="1" applyAlignment="1">
      <alignment horizontal="center" vertical="center"/>
    </xf>
    <xf numFmtId="176" fontId="7" fillId="3" borderId="97" xfId="0" applyNumberFormat="1" applyFont="1" applyFill="1" applyBorder="1" applyAlignment="1">
      <alignment horizontal="center" vertical="center"/>
    </xf>
    <xf numFmtId="176" fontId="7" fillId="3" borderId="98" xfId="0" applyNumberFormat="1" applyFont="1" applyFill="1" applyBorder="1" applyAlignment="1">
      <alignment horizontal="center" vertical="center"/>
    </xf>
    <xf numFmtId="176" fontId="10" fillId="3" borderId="85" xfId="0" applyNumberFormat="1" applyFont="1" applyFill="1" applyBorder="1" applyAlignment="1">
      <alignment horizontal="center" vertical="center"/>
    </xf>
    <xf numFmtId="176" fontId="10" fillId="3" borderId="86" xfId="0" applyNumberFormat="1" applyFont="1" applyFill="1" applyBorder="1" applyAlignment="1">
      <alignment horizontal="center" vertical="center"/>
    </xf>
    <xf numFmtId="176" fontId="10" fillId="3" borderId="87" xfId="0" applyNumberFormat="1" applyFont="1" applyFill="1" applyBorder="1" applyAlignment="1">
      <alignment horizontal="center" vertical="center"/>
    </xf>
    <xf numFmtId="176" fontId="10" fillId="3" borderId="88" xfId="0" applyNumberFormat="1" applyFont="1" applyFill="1" applyBorder="1" applyAlignment="1">
      <alignment horizontal="center" vertical="center"/>
    </xf>
    <xf numFmtId="176" fontId="7" fillId="3" borderId="68" xfId="0" applyNumberFormat="1" applyFont="1" applyFill="1" applyBorder="1" applyAlignment="1">
      <alignment horizontal="center" vertical="center"/>
    </xf>
    <xf numFmtId="176" fontId="7" fillId="3" borderId="103" xfId="0" applyNumberFormat="1" applyFont="1" applyFill="1" applyBorder="1" applyAlignment="1">
      <alignment horizontal="center" vertical="center"/>
    </xf>
    <xf numFmtId="178" fontId="10" fillId="3" borderId="89" xfId="0" applyNumberFormat="1" applyFont="1" applyFill="1" applyBorder="1" applyAlignment="1">
      <alignment horizontal="center" vertical="center"/>
    </xf>
    <xf numFmtId="176" fontId="10" fillId="3" borderId="90" xfId="0" applyNumberFormat="1" applyFont="1" applyFill="1" applyBorder="1" applyAlignment="1">
      <alignment horizontal="center" vertical="center"/>
    </xf>
    <xf numFmtId="176" fontId="10" fillId="3" borderId="91" xfId="0" applyNumberFormat="1" applyFont="1" applyFill="1" applyBorder="1" applyAlignment="1">
      <alignment horizontal="center" vertical="center"/>
    </xf>
    <xf numFmtId="176" fontId="10" fillId="3" borderId="92" xfId="0" applyNumberFormat="1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257298</xdr:colOff>
      <xdr:row>52</xdr:row>
      <xdr:rowOff>128649</xdr:rowOff>
    </xdr:from>
    <xdr:to>
      <xdr:col>22</xdr:col>
      <xdr:colOff>465116</xdr:colOff>
      <xdr:row>56</xdr:row>
      <xdr:rowOff>29687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AC1317-2CC2-B3A7-B8C3-6CCABFCAF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6260" y="10123714"/>
          <a:ext cx="811480" cy="8114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hpengineering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7"/>
  <sheetViews>
    <sheetView showGridLines="0" tabSelected="1" topLeftCell="A9" zoomScale="55" zoomScaleNormal="55" workbookViewId="0">
      <selection sqref="A1:AE57"/>
    </sheetView>
  </sheetViews>
  <sheetFormatPr defaultColWidth="9.1640625" defaultRowHeight="11.6"/>
  <cols>
    <col min="1" max="1" width="2.25" style="4" customWidth="1"/>
    <col min="2" max="3" width="6.75" style="4" customWidth="1"/>
    <col min="4" max="4" width="8" style="4" customWidth="1"/>
    <col min="5" max="5" width="8.75" style="4" customWidth="1"/>
    <col min="6" max="6" width="8" style="4" customWidth="1"/>
    <col min="7" max="7" width="7.83203125" style="4" customWidth="1"/>
    <col min="8" max="8" width="9.1640625" style="4"/>
    <col min="9" max="9" width="8.75" style="4" customWidth="1"/>
    <col min="10" max="10" width="9.25" style="4" customWidth="1"/>
    <col min="11" max="11" width="8.75" style="4" customWidth="1"/>
    <col min="12" max="12" width="9.25" style="4" customWidth="1"/>
    <col min="13" max="13" width="8.75" style="4" customWidth="1"/>
    <col min="14" max="14" width="9.25" style="4" customWidth="1"/>
    <col min="15" max="15" width="8.75" style="4" customWidth="1"/>
    <col min="16" max="16" width="9.25" style="4" customWidth="1"/>
    <col min="17" max="17" width="8.75" style="4" customWidth="1"/>
    <col min="18" max="18" width="9.25" style="4" customWidth="1"/>
    <col min="19" max="19" width="8.75" style="4" customWidth="1"/>
    <col min="20" max="20" width="9.25" style="4" customWidth="1"/>
    <col min="21" max="21" width="8.75" style="4" customWidth="1"/>
    <col min="22" max="22" width="9.25" style="4" customWidth="1"/>
    <col min="23" max="23" width="8.75" style="4" customWidth="1"/>
    <col min="24" max="24" width="9.25" style="4" customWidth="1"/>
    <col min="25" max="25" width="8.75" style="4" customWidth="1"/>
    <col min="26" max="26" width="9.25" style="4" customWidth="1"/>
    <col min="27" max="27" width="7.58203125" style="4" customWidth="1"/>
    <col min="28" max="28" width="9.25" style="4" customWidth="1"/>
    <col min="29" max="29" width="8.75" style="4" customWidth="1"/>
    <col min="30" max="30" width="9.25" style="4" customWidth="1"/>
    <col min="31" max="31" width="5.58203125" style="4" customWidth="1"/>
    <col min="32" max="16384" width="9.1640625" style="4"/>
  </cols>
  <sheetData>
    <row r="1" spans="1:31" ht="10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30.75" customHeight="1" thickBot="1">
      <c r="A2" s="5"/>
      <c r="B2" s="193" t="s">
        <v>89</v>
      </c>
      <c r="C2" s="194"/>
      <c r="D2" s="194"/>
      <c r="E2" s="194"/>
      <c r="F2" s="194"/>
      <c r="G2" s="194"/>
      <c r="H2" s="194"/>
      <c r="I2" s="194"/>
      <c r="J2" s="194"/>
      <c r="K2" s="194"/>
      <c r="L2" s="195"/>
      <c r="M2" s="6"/>
      <c r="N2" s="6"/>
      <c r="O2" s="6"/>
      <c r="Z2" s="72"/>
      <c r="AE2" s="7"/>
    </row>
    <row r="3" spans="1:31" ht="7.5" customHeight="1">
      <c r="A3" s="5"/>
      <c r="B3" s="8"/>
      <c r="AE3" s="7"/>
    </row>
    <row r="4" spans="1:31" ht="16" customHeight="1" thickBot="1">
      <c r="A4" s="5"/>
      <c r="B4" s="103" t="s">
        <v>172</v>
      </c>
      <c r="AE4" s="7"/>
    </row>
    <row r="5" spans="1:31" ht="16" customHeight="1" thickBot="1">
      <c r="A5" s="5"/>
      <c r="B5" s="141" t="s">
        <v>36</v>
      </c>
      <c r="C5" s="142" t="s">
        <v>37</v>
      </c>
      <c r="D5" s="143" t="s">
        <v>30</v>
      </c>
      <c r="E5" s="192" t="s">
        <v>32</v>
      </c>
      <c r="F5" s="191"/>
      <c r="G5" s="191" t="s">
        <v>33</v>
      </c>
      <c r="H5" s="191"/>
      <c r="I5" s="191" t="s">
        <v>34</v>
      </c>
      <c r="J5" s="191"/>
      <c r="K5" s="191" t="s">
        <v>38</v>
      </c>
      <c r="L5" s="191"/>
      <c r="M5" s="191" t="s">
        <v>35</v>
      </c>
      <c r="N5" s="191"/>
      <c r="O5" s="191" t="s">
        <v>3</v>
      </c>
      <c r="P5" s="191"/>
      <c r="Q5" s="191" t="s">
        <v>39</v>
      </c>
      <c r="R5" s="191"/>
      <c r="S5" s="191" t="s">
        <v>2</v>
      </c>
      <c r="T5" s="191"/>
      <c r="U5" s="191" t="s">
        <v>4</v>
      </c>
      <c r="V5" s="191"/>
      <c r="W5" s="191" t="s">
        <v>5</v>
      </c>
      <c r="X5" s="191"/>
      <c r="Y5" s="191" t="s">
        <v>6</v>
      </c>
      <c r="Z5" s="191"/>
      <c r="AA5" s="191" t="s">
        <v>7</v>
      </c>
      <c r="AB5" s="191"/>
      <c r="AC5" s="191" t="s">
        <v>40</v>
      </c>
      <c r="AD5" s="196"/>
      <c r="AE5" s="7"/>
    </row>
    <row r="6" spans="1:31" ht="16" customHeight="1">
      <c r="A6" s="5"/>
      <c r="B6" s="13" t="s">
        <v>8</v>
      </c>
      <c r="C6" s="14">
        <v>6</v>
      </c>
      <c r="D6" s="144">
        <v>10.3</v>
      </c>
      <c r="E6" s="15"/>
      <c r="F6" s="16"/>
      <c r="G6" s="17"/>
      <c r="H6" s="16"/>
      <c r="I6" s="17"/>
      <c r="J6" s="16"/>
      <c r="K6" s="17">
        <v>1.73</v>
      </c>
      <c r="L6" s="148">
        <f t="shared" ref="L6:L29" si="0">($D6-K6)*K6*0.02466</f>
        <v>0.36561162600000002</v>
      </c>
      <c r="M6" s="17">
        <v>1.73</v>
      </c>
      <c r="N6" s="148">
        <f t="shared" ref="N6:N29" si="1">($D6-M6)*M6*0.02466</f>
        <v>0.36561162600000002</v>
      </c>
      <c r="O6" s="17"/>
      <c r="P6" s="16"/>
      <c r="Q6" s="17">
        <v>2.41</v>
      </c>
      <c r="R6" s="148">
        <f t="shared" ref="R6:R29" si="2">($D6-Q6)*Q6*0.02466</f>
        <v>0.46890743400000007</v>
      </c>
      <c r="S6" s="17">
        <v>2.41</v>
      </c>
      <c r="T6" s="148">
        <f t="shared" ref="T6:T29" si="3">($D6-S6)*S6*0.02466</f>
        <v>0.46890743400000007</v>
      </c>
      <c r="U6" s="17"/>
      <c r="V6" s="16"/>
      <c r="W6" s="17"/>
      <c r="X6" s="16"/>
      <c r="Y6" s="17"/>
      <c r="Z6" s="16"/>
      <c r="AA6" s="17"/>
      <c r="AB6" s="16"/>
      <c r="AC6" s="17"/>
      <c r="AD6" s="18"/>
      <c r="AE6" s="7"/>
    </row>
    <row r="7" spans="1:31" ht="16" customHeight="1">
      <c r="A7" s="5"/>
      <c r="B7" s="13" t="s">
        <v>9</v>
      </c>
      <c r="C7" s="14">
        <v>8</v>
      </c>
      <c r="D7" s="144">
        <v>13.7</v>
      </c>
      <c r="E7" s="15"/>
      <c r="F7" s="16"/>
      <c r="G7" s="17"/>
      <c r="H7" s="16"/>
      <c r="I7" s="17"/>
      <c r="J7" s="16"/>
      <c r="K7" s="17">
        <v>2.2400000000000002</v>
      </c>
      <c r="L7" s="148">
        <f t="shared" si="0"/>
        <v>0.63303206400000001</v>
      </c>
      <c r="M7" s="17">
        <v>2.2400000000000002</v>
      </c>
      <c r="N7" s="148">
        <f t="shared" si="1"/>
        <v>0.63303206400000001</v>
      </c>
      <c r="O7" s="17"/>
      <c r="P7" s="16"/>
      <c r="Q7" s="17">
        <v>3.02</v>
      </c>
      <c r="R7" s="148">
        <f t="shared" si="2"/>
        <v>0.79537377600000003</v>
      </c>
      <c r="S7" s="17">
        <v>3.02</v>
      </c>
      <c r="T7" s="148">
        <f t="shared" si="3"/>
        <v>0.79537377600000003</v>
      </c>
      <c r="U7" s="17"/>
      <c r="V7" s="16"/>
      <c r="W7" s="17"/>
      <c r="X7" s="16"/>
      <c r="Y7" s="17"/>
      <c r="Z7" s="16"/>
      <c r="AA7" s="17"/>
      <c r="AB7" s="16"/>
      <c r="AC7" s="17"/>
      <c r="AD7" s="18"/>
      <c r="AE7" s="7"/>
    </row>
    <row r="8" spans="1:31" ht="16" customHeight="1">
      <c r="A8" s="5"/>
      <c r="B8" s="19" t="s">
        <v>41</v>
      </c>
      <c r="C8" s="20">
        <v>10</v>
      </c>
      <c r="D8" s="145">
        <v>17.100000000000001</v>
      </c>
      <c r="E8" s="21"/>
      <c r="F8" s="22"/>
      <c r="G8" s="23"/>
      <c r="H8" s="22"/>
      <c r="I8" s="23"/>
      <c r="J8" s="22"/>
      <c r="K8" s="23">
        <v>2.31</v>
      </c>
      <c r="L8" s="149">
        <f t="shared" si="0"/>
        <v>0.84250643400000014</v>
      </c>
      <c r="M8" s="23">
        <v>2.31</v>
      </c>
      <c r="N8" s="149">
        <f t="shared" si="1"/>
        <v>0.84250643400000014</v>
      </c>
      <c r="O8" s="23"/>
      <c r="P8" s="22"/>
      <c r="Q8" s="23">
        <v>3.2</v>
      </c>
      <c r="R8" s="149">
        <f t="shared" si="2"/>
        <v>1.0968768000000004</v>
      </c>
      <c r="S8" s="23">
        <v>3.2</v>
      </c>
      <c r="T8" s="149">
        <f t="shared" si="3"/>
        <v>1.0968768000000004</v>
      </c>
      <c r="U8" s="23"/>
      <c r="V8" s="22"/>
      <c r="W8" s="23"/>
      <c r="X8" s="22"/>
      <c r="Y8" s="23"/>
      <c r="Z8" s="22"/>
      <c r="AA8" s="23"/>
      <c r="AB8" s="22"/>
      <c r="AC8" s="23"/>
      <c r="AD8" s="24"/>
      <c r="AE8" s="7"/>
    </row>
    <row r="9" spans="1:31" ht="16" customHeight="1">
      <c r="A9" s="5"/>
      <c r="B9" s="25" t="s">
        <v>10</v>
      </c>
      <c r="C9" s="26">
        <v>15</v>
      </c>
      <c r="D9" s="146">
        <v>21.3</v>
      </c>
      <c r="E9" s="27"/>
      <c r="F9" s="28"/>
      <c r="G9" s="29"/>
      <c r="H9" s="28"/>
      <c r="I9" s="29"/>
      <c r="J9" s="28"/>
      <c r="K9" s="29">
        <v>2.77</v>
      </c>
      <c r="L9" s="150">
        <f t="shared" si="0"/>
        <v>1.2657509460000003</v>
      </c>
      <c r="M9" s="29">
        <v>2.77</v>
      </c>
      <c r="N9" s="150">
        <f t="shared" si="1"/>
        <v>1.2657509460000003</v>
      </c>
      <c r="O9" s="29"/>
      <c r="P9" s="28"/>
      <c r="Q9" s="29">
        <v>3.73</v>
      </c>
      <c r="R9" s="150">
        <f t="shared" si="2"/>
        <v>1.6161202260000003</v>
      </c>
      <c r="S9" s="29">
        <v>3.73</v>
      </c>
      <c r="T9" s="150">
        <f t="shared" si="3"/>
        <v>1.6161202260000003</v>
      </c>
      <c r="U9" s="29"/>
      <c r="V9" s="28"/>
      <c r="W9" s="29"/>
      <c r="X9" s="28"/>
      <c r="Y9" s="29"/>
      <c r="Z9" s="28"/>
      <c r="AA9" s="29">
        <v>4.78</v>
      </c>
      <c r="AB9" s="150">
        <f t="shared" ref="AB9:AB16" si="4">($D9-AA9)*AA9*0.02466</f>
        <v>1.9472916960000004</v>
      </c>
      <c r="AC9" s="29">
        <v>7.47</v>
      </c>
      <c r="AD9" s="152">
        <f t="shared" ref="AD9:AD16" si="5">($D9-AC9)*AC9*0.02466</f>
        <v>2.5476270660000004</v>
      </c>
      <c r="AE9" s="7"/>
    </row>
    <row r="10" spans="1:31" ht="16" customHeight="1">
      <c r="A10" s="5"/>
      <c r="B10" s="13" t="s">
        <v>11</v>
      </c>
      <c r="C10" s="14">
        <v>20</v>
      </c>
      <c r="D10" s="144">
        <v>26.7</v>
      </c>
      <c r="E10" s="15"/>
      <c r="F10" s="16"/>
      <c r="G10" s="17"/>
      <c r="H10" s="16"/>
      <c r="I10" s="17"/>
      <c r="J10" s="16"/>
      <c r="K10" s="17">
        <v>2.87</v>
      </c>
      <c r="L10" s="148">
        <f t="shared" si="0"/>
        <v>1.6865491860000001</v>
      </c>
      <c r="M10" s="17">
        <v>2.87</v>
      </c>
      <c r="N10" s="148">
        <f t="shared" si="1"/>
        <v>1.6865491860000001</v>
      </c>
      <c r="O10" s="17"/>
      <c r="P10" s="16"/>
      <c r="Q10" s="17">
        <v>3.91</v>
      </c>
      <c r="R10" s="148">
        <f t="shared" si="2"/>
        <v>2.1974254740000001</v>
      </c>
      <c r="S10" s="17">
        <v>3.91</v>
      </c>
      <c r="T10" s="148">
        <f t="shared" si="3"/>
        <v>2.1974254740000001</v>
      </c>
      <c r="U10" s="17"/>
      <c r="V10" s="16"/>
      <c r="W10" s="17"/>
      <c r="X10" s="16"/>
      <c r="Y10" s="17"/>
      <c r="Z10" s="16"/>
      <c r="AA10" s="17">
        <v>5.56</v>
      </c>
      <c r="AB10" s="148">
        <f t="shared" si="4"/>
        <v>2.8984969440000001</v>
      </c>
      <c r="AC10" s="17">
        <v>7.82</v>
      </c>
      <c r="AD10" s="153">
        <f t="shared" si="5"/>
        <v>3.6408418560000007</v>
      </c>
      <c r="AE10" s="7"/>
    </row>
    <row r="11" spans="1:31" ht="16" customHeight="1">
      <c r="A11" s="5"/>
      <c r="B11" s="13" t="s">
        <v>12</v>
      </c>
      <c r="C11" s="14">
        <v>25</v>
      </c>
      <c r="D11" s="144">
        <v>33.4</v>
      </c>
      <c r="E11" s="15"/>
      <c r="F11" s="16"/>
      <c r="G11" s="17"/>
      <c r="H11" s="16"/>
      <c r="I11" s="17"/>
      <c r="J11" s="16"/>
      <c r="K11" s="17">
        <v>3.38</v>
      </c>
      <c r="L11" s="148">
        <f t="shared" si="0"/>
        <v>2.5021910159999998</v>
      </c>
      <c r="M11" s="17">
        <v>3.38</v>
      </c>
      <c r="N11" s="148">
        <f t="shared" si="1"/>
        <v>2.5021910159999998</v>
      </c>
      <c r="O11" s="17"/>
      <c r="P11" s="16"/>
      <c r="Q11" s="17">
        <v>4.55</v>
      </c>
      <c r="R11" s="148">
        <f t="shared" si="2"/>
        <v>3.2370565499999997</v>
      </c>
      <c r="S11" s="17">
        <v>4.55</v>
      </c>
      <c r="T11" s="148">
        <f t="shared" si="3"/>
        <v>3.2370565499999997</v>
      </c>
      <c r="U11" s="17"/>
      <c r="V11" s="16"/>
      <c r="W11" s="17"/>
      <c r="X11" s="16"/>
      <c r="Y11" s="17"/>
      <c r="Z11" s="16"/>
      <c r="AA11" s="17">
        <v>6.35</v>
      </c>
      <c r="AB11" s="148">
        <f t="shared" si="4"/>
        <v>4.2357865500000003</v>
      </c>
      <c r="AC11" s="17">
        <v>9.09</v>
      </c>
      <c r="AD11" s="153">
        <f t="shared" si="5"/>
        <v>5.4493150139999997</v>
      </c>
      <c r="AE11" s="7"/>
    </row>
    <row r="12" spans="1:31" ht="16" customHeight="1">
      <c r="A12" s="5"/>
      <c r="B12" s="13" t="s">
        <v>13</v>
      </c>
      <c r="C12" s="14">
        <v>32</v>
      </c>
      <c r="D12" s="144">
        <v>42.2</v>
      </c>
      <c r="E12" s="15"/>
      <c r="F12" s="16"/>
      <c r="G12" s="17"/>
      <c r="H12" s="16"/>
      <c r="I12" s="17"/>
      <c r="J12" s="16"/>
      <c r="K12" s="17">
        <v>3.56</v>
      </c>
      <c r="L12" s="148">
        <f t="shared" si="0"/>
        <v>3.3921901440000002</v>
      </c>
      <c r="M12" s="17">
        <v>3.56</v>
      </c>
      <c r="N12" s="148">
        <f t="shared" si="1"/>
        <v>3.3921901440000002</v>
      </c>
      <c r="O12" s="17"/>
      <c r="P12" s="16"/>
      <c r="Q12" s="17">
        <v>4.8499999999999996</v>
      </c>
      <c r="R12" s="148">
        <f t="shared" si="2"/>
        <v>4.4670973499999995</v>
      </c>
      <c r="S12" s="17">
        <v>4.8499999999999996</v>
      </c>
      <c r="T12" s="148">
        <f t="shared" si="3"/>
        <v>4.4670973499999995</v>
      </c>
      <c r="U12" s="17"/>
      <c r="V12" s="16"/>
      <c r="W12" s="17"/>
      <c r="X12" s="16"/>
      <c r="Y12" s="17"/>
      <c r="Z12" s="16"/>
      <c r="AA12" s="17">
        <v>6.35</v>
      </c>
      <c r="AB12" s="148">
        <f t="shared" si="4"/>
        <v>5.6137873500000008</v>
      </c>
      <c r="AC12" s="17">
        <v>9.6999999999999993</v>
      </c>
      <c r="AD12" s="153">
        <f t="shared" si="5"/>
        <v>7.7740650000000002</v>
      </c>
      <c r="AE12" s="7"/>
    </row>
    <row r="13" spans="1:31" ht="16" customHeight="1">
      <c r="A13" s="5"/>
      <c r="B13" s="19" t="s">
        <v>14</v>
      </c>
      <c r="C13" s="20">
        <v>40</v>
      </c>
      <c r="D13" s="145">
        <v>48.3</v>
      </c>
      <c r="E13" s="21"/>
      <c r="F13" s="22"/>
      <c r="G13" s="23"/>
      <c r="H13" s="22"/>
      <c r="I13" s="23"/>
      <c r="J13" s="22"/>
      <c r="K13" s="23">
        <v>3.68</v>
      </c>
      <c r="L13" s="149">
        <f t="shared" si="0"/>
        <v>4.0492114560000001</v>
      </c>
      <c r="M13" s="23">
        <v>3.68</v>
      </c>
      <c r="N13" s="149">
        <f t="shared" si="1"/>
        <v>4.0492114560000001</v>
      </c>
      <c r="O13" s="23"/>
      <c r="P13" s="22"/>
      <c r="Q13" s="23">
        <v>5.08</v>
      </c>
      <c r="R13" s="149">
        <f t="shared" si="2"/>
        <v>5.4142904160000001</v>
      </c>
      <c r="S13" s="23">
        <v>5.08</v>
      </c>
      <c r="T13" s="149">
        <f t="shared" si="3"/>
        <v>5.4142904160000001</v>
      </c>
      <c r="U13" s="23"/>
      <c r="V13" s="22"/>
      <c r="W13" s="23"/>
      <c r="X13" s="22"/>
      <c r="Y13" s="23"/>
      <c r="Z13" s="22"/>
      <c r="AA13" s="23">
        <v>7.14</v>
      </c>
      <c r="AB13" s="149">
        <f t="shared" si="4"/>
        <v>7.2471399839999995</v>
      </c>
      <c r="AC13" s="23">
        <v>10.16</v>
      </c>
      <c r="AD13" s="154">
        <f t="shared" si="5"/>
        <v>9.555809184000001</v>
      </c>
      <c r="AE13" s="7"/>
    </row>
    <row r="14" spans="1:31" ht="16" customHeight="1">
      <c r="A14" s="5"/>
      <c r="B14" s="25" t="s">
        <v>15</v>
      </c>
      <c r="C14" s="26">
        <v>50</v>
      </c>
      <c r="D14" s="146">
        <v>60.3</v>
      </c>
      <c r="E14" s="27"/>
      <c r="F14" s="28"/>
      <c r="G14" s="29"/>
      <c r="H14" s="28"/>
      <c r="I14" s="29"/>
      <c r="J14" s="28"/>
      <c r="K14" s="29">
        <v>3.91</v>
      </c>
      <c r="L14" s="150">
        <f t="shared" si="0"/>
        <v>5.437157634000001</v>
      </c>
      <c r="M14" s="29">
        <v>3.91</v>
      </c>
      <c r="N14" s="150">
        <f t="shared" si="1"/>
        <v>5.437157634000001</v>
      </c>
      <c r="O14" s="29"/>
      <c r="P14" s="28"/>
      <c r="Q14" s="29">
        <v>5.54</v>
      </c>
      <c r="R14" s="150">
        <f t="shared" si="2"/>
        <v>7.4811140640000007</v>
      </c>
      <c r="S14" s="29">
        <v>5.54</v>
      </c>
      <c r="T14" s="150">
        <f t="shared" si="3"/>
        <v>7.4811140640000007</v>
      </c>
      <c r="U14" s="29"/>
      <c r="V14" s="28"/>
      <c r="W14" s="29"/>
      <c r="X14" s="28"/>
      <c r="Y14" s="29"/>
      <c r="Z14" s="28"/>
      <c r="AA14" s="29">
        <v>8.74</v>
      </c>
      <c r="AB14" s="150">
        <f t="shared" si="4"/>
        <v>11.112644304</v>
      </c>
      <c r="AC14" s="29">
        <v>11.07</v>
      </c>
      <c r="AD14" s="152">
        <f t="shared" si="5"/>
        <v>13.439110626</v>
      </c>
      <c r="AE14" s="7"/>
    </row>
    <row r="15" spans="1:31" ht="16" customHeight="1">
      <c r="A15" s="5"/>
      <c r="B15" s="13" t="s">
        <v>16</v>
      </c>
      <c r="C15" s="14">
        <v>65</v>
      </c>
      <c r="D15" s="144">
        <v>73</v>
      </c>
      <c r="E15" s="15"/>
      <c r="F15" s="16"/>
      <c r="G15" s="17"/>
      <c r="H15" s="16"/>
      <c r="I15" s="17"/>
      <c r="J15" s="16"/>
      <c r="K15" s="17">
        <v>5.16</v>
      </c>
      <c r="L15" s="148">
        <f t="shared" si="0"/>
        <v>8.6323415040000011</v>
      </c>
      <c r="M15" s="17">
        <v>5.16</v>
      </c>
      <c r="N15" s="148">
        <f t="shared" si="1"/>
        <v>8.6323415040000011</v>
      </c>
      <c r="O15" s="17"/>
      <c r="P15" s="16"/>
      <c r="Q15" s="17">
        <v>7.01</v>
      </c>
      <c r="R15" s="148">
        <f t="shared" si="2"/>
        <v>11.407466933999999</v>
      </c>
      <c r="S15" s="17">
        <v>7.01</v>
      </c>
      <c r="T15" s="148">
        <f t="shared" si="3"/>
        <v>11.407466933999999</v>
      </c>
      <c r="U15" s="17"/>
      <c r="V15" s="16"/>
      <c r="W15" s="17"/>
      <c r="X15" s="16"/>
      <c r="Y15" s="17"/>
      <c r="Z15" s="16"/>
      <c r="AA15" s="17">
        <v>9.52</v>
      </c>
      <c r="AB15" s="148">
        <f t="shared" si="4"/>
        <v>14.902767936000002</v>
      </c>
      <c r="AC15" s="17">
        <v>14.02</v>
      </c>
      <c r="AD15" s="153">
        <f t="shared" si="5"/>
        <v>20.391344136000004</v>
      </c>
      <c r="AE15" s="7"/>
    </row>
    <row r="16" spans="1:31" ht="16" customHeight="1">
      <c r="A16" s="5"/>
      <c r="B16" s="13" t="s">
        <v>17</v>
      </c>
      <c r="C16" s="14">
        <v>80</v>
      </c>
      <c r="D16" s="144">
        <v>88.9</v>
      </c>
      <c r="E16" s="15"/>
      <c r="F16" s="16"/>
      <c r="G16" s="17"/>
      <c r="H16" s="16"/>
      <c r="I16" s="17"/>
      <c r="J16" s="16"/>
      <c r="K16" s="17">
        <v>5.49</v>
      </c>
      <c r="L16" s="148">
        <f t="shared" si="0"/>
        <v>11.292329394000003</v>
      </c>
      <c r="M16" s="17">
        <v>5.49</v>
      </c>
      <c r="N16" s="148">
        <f t="shared" si="1"/>
        <v>11.292329394000003</v>
      </c>
      <c r="O16" s="17"/>
      <c r="P16" s="16"/>
      <c r="Q16" s="17">
        <v>7.62</v>
      </c>
      <c r="R16" s="148">
        <f t="shared" si="2"/>
        <v>15.273259776000002</v>
      </c>
      <c r="S16" s="17">
        <v>7.62</v>
      </c>
      <c r="T16" s="148">
        <f t="shared" si="3"/>
        <v>15.273259776000002</v>
      </c>
      <c r="U16" s="17"/>
      <c r="V16" s="16"/>
      <c r="W16" s="17"/>
      <c r="X16" s="16"/>
      <c r="Y16" s="17"/>
      <c r="Z16" s="16"/>
      <c r="AA16" s="17">
        <v>11.13</v>
      </c>
      <c r="AB16" s="148">
        <f t="shared" si="4"/>
        <v>21.345205266000004</v>
      </c>
      <c r="AC16" s="17">
        <v>15.24</v>
      </c>
      <c r="AD16" s="153">
        <f t="shared" si="5"/>
        <v>27.682783344000004</v>
      </c>
      <c r="AE16" s="7"/>
    </row>
    <row r="17" spans="1:31" ht="16" customHeight="1">
      <c r="A17" s="5"/>
      <c r="B17" s="13" t="s">
        <v>18</v>
      </c>
      <c r="C17" s="14">
        <v>90</v>
      </c>
      <c r="D17" s="144">
        <v>101.6</v>
      </c>
      <c r="E17" s="15"/>
      <c r="F17" s="16"/>
      <c r="G17" s="17"/>
      <c r="H17" s="16"/>
      <c r="I17" s="17"/>
      <c r="J17" s="16"/>
      <c r="K17" s="17">
        <v>5.74</v>
      </c>
      <c r="L17" s="148">
        <f t="shared" si="0"/>
        <v>13.568829624000001</v>
      </c>
      <c r="M17" s="17">
        <v>5.74</v>
      </c>
      <c r="N17" s="148">
        <f t="shared" si="1"/>
        <v>13.568829624000001</v>
      </c>
      <c r="O17" s="17"/>
      <c r="P17" s="16"/>
      <c r="Q17" s="17">
        <v>8.08</v>
      </c>
      <c r="R17" s="148">
        <f t="shared" si="2"/>
        <v>18.634121856</v>
      </c>
      <c r="S17" s="17">
        <v>8.08</v>
      </c>
      <c r="T17" s="148">
        <f t="shared" si="3"/>
        <v>18.634121856</v>
      </c>
      <c r="U17" s="17"/>
      <c r="V17" s="16"/>
      <c r="W17" s="17"/>
      <c r="X17" s="16"/>
      <c r="Y17" s="17"/>
      <c r="Z17" s="16"/>
      <c r="AA17" s="17"/>
      <c r="AB17" s="16"/>
      <c r="AC17" s="17"/>
      <c r="AD17" s="18"/>
      <c r="AE17" s="7"/>
    </row>
    <row r="18" spans="1:31" ht="16" customHeight="1">
      <c r="A18" s="5"/>
      <c r="B18" s="19" t="s">
        <v>19</v>
      </c>
      <c r="C18" s="20">
        <v>100</v>
      </c>
      <c r="D18" s="145">
        <v>114.3</v>
      </c>
      <c r="E18" s="21"/>
      <c r="F18" s="22"/>
      <c r="G18" s="23"/>
      <c r="H18" s="22"/>
      <c r="I18" s="23"/>
      <c r="J18" s="22"/>
      <c r="K18" s="23">
        <v>6.02</v>
      </c>
      <c r="L18" s="149">
        <f t="shared" si="0"/>
        <v>16.074512496000001</v>
      </c>
      <c r="M18" s="23">
        <v>6.02</v>
      </c>
      <c r="N18" s="149">
        <f t="shared" si="1"/>
        <v>16.074512496000001</v>
      </c>
      <c r="O18" s="23"/>
      <c r="P18" s="22"/>
      <c r="Q18" s="23">
        <v>8.56</v>
      </c>
      <c r="R18" s="149">
        <f t="shared" si="2"/>
        <v>22.320614304000003</v>
      </c>
      <c r="S18" s="23">
        <v>8.56</v>
      </c>
      <c r="T18" s="149">
        <f t="shared" si="3"/>
        <v>22.320614304000003</v>
      </c>
      <c r="U18" s="23"/>
      <c r="V18" s="22"/>
      <c r="W18" s="23">
        <v>11.13</v>
      </c>
      <c r="X18" s="149">
        <f t="shared" ref="X18:X29" si="6">($D18-W18)*W18*0.02466</f>
        <v>28.316636586000005</v>
      </c>
      <c r="Y18" s="23"/>
      <c r="Z18" s="22"/>
      <c r="AA18" s="23">
        <v>13.49</v>
      </c>
      <c r="AB18" s="149">
        <f t="shared" ref="AB18:AB29" si="7">($D18-AA18)*AA18*0.02466</f>
        <v>33.535797354000003</v>
      </c>
      <c r="AC18" s="23">
        <v>17.12</v>
      </c>
      <c r="AD18" s="154">
        <f t="shared" ref="AD18:AD23" si="8">($D18-AC18)*AC18*0.02466</f>
        <v>41.027374656000006</v>
      </c>
      <c r="AE18" s="7"/>
    </row>
    <row r="19" spans="1:31" ht="16" customHeight="1">
      <c r="A19" s="5"/>
      <c r="B19" s="25" t="s">
        <v>20</v>
      </c>
      <c r="C19" s="26">
        <v>125</v>
      </c>
      <c r="D19" s="146">
        <v>141.30000000000001</v>
      </c>
      <c r="E19" s="27"/>
      <c r="F19" s="28"/>
      <c r="G19" s="29"/>
      <c r="H19" s="28"/>
      <c r="I19" s="29"/>
      <c r="J19" s="28"/>
      <c r="K19" s="29">
        <v>6.55</v>
      </c>
      <c r="L19" s="150">
        <f t="shared" si="0"/>
        <v>21.765224249999999</v>
      </c>
      <c r="M19" s="29">
        <v>6.55</v>
      </c>
      <c r="N19" s="150">
        <f t="shared" si="1"/>
        <v>21.765224249999999</v>
      </c>
      <c r="O19" s="29"/>
      <c r="P19" s="28"/>
      <c r="Q19" s="29">
        <v>9.52</v>
      </c>
      <c r="R19" s="150">
        <f t="shared" si="2"/>
        <v>30.937094496</v>
      </c>
      <c r="S19" s="29">
        <v>9.52</v>
      </c>
      <c r="T19" s="150">
        <f t="shared" si="3"/>
        <v>30.937094496</v>
      </c>
      <c r="U19" s="29"/>
      <c r="V19" s="28"/>
      <c r="W19" s="29">
        <v>12.7</v>
      </c>
      <c r="X19" s="150">
        <f t="shared" si="6"/>
        <v>40.275205200000009</v>
      </c>
      <c r="Y19" s="29"/>
      <c r="Z19" s="28"/>
      <c r="AA19" s="29">
        <v>15.88</v>
      </c>
      <c r="AB19" s="150">
        <f t="shared" si="7"/>
        <v>49.114572336000009</v>
      </c>
      <c r="AC19" s="29">
        <v>19.05</v>
      </c>
      <c r="AD19" s="152">
        <f t="shared" si="8"/>
        <v>57.429749250000008</v>
      </c>
      <c r="AE19" s="7"/>
    </row>
    <row r="20" spans="1:31" ht="16" customHeight="1">
      <c r="A20" s="5"/>
      <c r="B20" s="13" t="s">
        <v>21</v>
      </c>
      <c r="C20" s="14">
        <v>150</v>
      </c>
      <c r="D20" s="144">
        <v>168.3</v>
      </c>
      <c r="E20" s="15"/>
      <c r="F20" s="16"/>
      <c r="G20" s="17"/>
      <c r="H20" s="16"/>
      <c r="I20" s="17"/>
      <c r="J20" s="16"/>
      <c r="K20" s="17">
        <v>7.11</v>
      </c>
      <c r="L20" s="148">
        <f t="shared" si="0"/>
        <v>28.261861794000001</v>
      </c>
      <c r="M20" s="17">
        <v>7.11</v>
      </c>
      <c r="N20" s="148">
        <f t="shared" si="1"/>
        <v>28.261861794000001</v>
      </c>
      <c r="O20" s="17"/>
      <c r="P20" s="16"/>
      <c r="Q20" s="17">
        <v>10.97</v>
      </c>
      <c r="R20" s="148">
        <f t="shared" si="2"/>
        <v>42.560943066000007</v>
      </c>
      <c r="S20" s="17">
        <v>10.97</v>
      </c>
      <c r="T20" s="148">
        <f t="shared" si="3"/>
        <v>42.560943066000007</v>
      </c>
      <c r="U20" s="17"/>
      <c r="V20" s="16"/>
      <c r="W20" s="17">
        <v>14.27</v>
      </c>
      <c r="X20" s="148">
        <f t="shared" si="6"/>
        <v>54.202879746000001</v>
      </c>
      <c r="Y20" s="17"/>
      <c r="Z20" s="16"/>
      <c r="AA20" s="17">
        <v>18.260000000000002</v>
      </c>
      <c r="AB20" s="148">
        <f t="shared" si="7"/>
        <v>67.561751664000028</v>
      </c>
      <c r="AC20" s="17">
        <v>21.95</v>
      </c>
      <c r="AD20" s="153">
        <f t="shared" si="8"/>
        <v>79.217352450000021</v>
      </c>
      <c r="AE20" s="7"/>
    </row>
    <row r="21" spans="1:31" ht="16" customHeight="1">
      <c r="A21" s="5"/>
      <c r="B21" s="13" t="s">
        <v>22</v>
      </c>
      <c r="C21" s="14">
        <v>200</v>
      </c>
      <c r="D21" s="144">
        <v>219.1</v>
      </c>
      <c r="E21" s="15"/>
      <c r="F21" s="16"/>
      <c r="G21" s="17">
        <v>6.35</v>
      </c>
      <c r="H21" s="148">
        <f t="shared" ref="H21:H29" si="9">($D21-G21)*G21*0.02466</f>
        <v>33.314735249999998</v>
      </c>
      <c r="I21" s="17">
        <v>7.04</v>
      </c>
      <c r="J21" s="148">
        <f t="shared" ref="J21:J29" si="10">($D21-I21)*I21*0.02466</f>
        <v>36.814973184000003</v>
      </c>
      <c r="K21" s="17">
        <v>8.18</v>
      </c>
      <c r="L21" s="148">
        <f t="shared" si="0"/>
        <v>42.546529296000003</v>
      </c>
      <c r="M21" s="17">
        <v>8.18</v>
      </c>
      <c r="N21" s="148">
        <f t="shared" si="1"/>
        <v>42.546529296000003</v>
      </c>
      <c r="O21" s="17"/>
      <c r="P21" s="16"/>
      <c r="Q21" s="17">
        <v>12.7</v>
      </c>
      <c r="R21" s="148">
        <f t="shared" si="2"/>
        <v>64.640764799999999</v>
      </c>
      <c r="S21" s="17">
        <v>12.7</v>
      </c>
      <c r="T21" s="148">
        <f t="shared" si="3"/>
        <v>64.640764799999999</v>
      </c>
      <c r="U21" s="17">
        <v>15.09</v>
      </c>
      <c r="V21" s="148">
        <f t="shared" ref="V21:V29" si="11">($D21-U21)*U21*0.02466</f>
        <v>75.916078794000001</v>
      </c>
      <c r="W21" s="17">
        <v>18.260000000000002</v>
      </c>
      <c r="X21" s="148">
        <f t="shared" si="6"/>
        <v>90.436564944000025</v>
      </c>
      <c r="Y21" s="17">
        <v>20.62</v>
      </c>
      <c r="Z21" s="148">
        <f t="shared" ref="Z21:Z29" si="12">($D21-Y21)*Y21*0.02466</f>
        <v>100.92493641600001</v>
      </c>
      <c r="AA21" s="17">
        <v>23.01</v>
      </c>
      <c r="AB21" s="148">
        <f t="shared" si="7"/>
        <v>111.26668199400002</v>
      </c>
      <c r="AC21" s="17">
        <v>22.22</v>
      </c>
      <c r="AD21" s="153">
        <f t="shared" si="8"/>
        <v>107.879450976</v>
      </c>
      <c r="AE21" s="7"/>
    </row>
    <row r="22" spans="1:31" ht="16" customHeight="1">
      <c r="A22" s="5"/>
      <c r="B22" s="19" t="s">
        <v>23</v>
      </c>
      <c r="C22" s="20">
        <v>250</v>
      </c>
      <c r="D22" s="145">
        <v>273.10000000000002</v>
      </c>
      <c r="E22" s="21"/>
      <c r="F22" s="22"/>
      <c r="G22" s="23">
        <v>6.35</v>
      </c>
      <c r="H22" s="149">
        <f t="shared" si="9"/>
        <v>41.770649249999998</v>
      </c>
      <c r="I22" s="23">
        <v>7.8</v>
      </c>
      <c r="J22" s="149">
        <f t="shared" si="10"/>
        <v>51.029924400000006</v>
      </c>
      <c r="K22" s="23">
        <v>9.27</v>
      </c>
      <c r="L22" s="149">
        <f t="shared" si="0"/>
        <v>60.311063106000013</v>
      </c>
      <c r="M22" s="23">
        <v>9.27</v>
      </c>
      <c r="N22" s="149">
        <f t="shared" si="1"/>
        <v>60.311063106000013</v>
      </c>
      <c r="O22" s="23">
        <v>12.7</v>
      </c>
      <c r="P22" s="149">
        <f t="shared" ref="P22:P29" si="13">($D22-O22)*O22*0.02466</f>
        <v>81.552592800000014</v>
      </c>
      <c r="Q22" s="23">
        <v>12.7</v>
      </c>
      <c r="R22" s="149">
        <f t="shared" si="2"/>
        <v>81.552592800000014</v>
      </c>
      <c r="S22" s="23">
        <v>15.09</v>
      </c>
      <c r="T22" s="149">
        <f t="shared" si="3"/>
        <v>96.010526394000024</v>
      </c>
      <c r="U22" s="23">
        <v>18.260000000000002</v>
      </c>
      <c r="V22" s="149">
        <f t="shared" si="11"/>
        <v>114.75231134400003</v>
      </c>
      <c r="W22" s="23">
        <v>21.44</v>
      </c>
      <c r="X22" s="149">
        <f t="shared" si="6"/>
        <v>133.05525926400003</v>
      </c>
      <c r="Y22" s="23">
        <v>25.4</v>
      </c>
      <c r="Z22" s="149">
        <f t="shared" si="12"/>
        <v>155.15036280000001</v>
      </c>
      <c r="AA22" s="23">
        <v>28.57</v>
      </c>
      <c r="AB22" s="149">
        <f t="shared" si="7"/>
        <v>172.28023698600003</v>
      </c>
      <c r="AC22" s="23">
        <v>25.4</v>
      </c>
      <c r="AD22" s="154">
        <f t="shared" si="8"/>
        <v>155.15036280000001</v>
      </c>
      <c r="AE22" s="7"/>
    </row>
    <row r="23" spans="1:31" ht="16" customHeight="1">
      <c r="A23" s="5"/>
      <c r="B23" s="25" t="s">
        <v>24</v>
      </c>
      <c r="C23" s="26">
        <v>300</v>
      </c>
      <c r="D23" s="146">
        <v>323.89999999999998</v>
      </c>
      <c r="E23" s="27"/>
      <c r="F23" s="28"/>
      <c r="G23" s="29">
        <v>6.35</v>
      </c>
      <c r="H23" s="150">
        <f t="shared" si="9"/>
        <v>49.725472049999993</v>
      </c>
      <c r="I23" s="29">
        <v>8.3800000000000008</v>
      </c>
      <c r="J23" s="150">
        <f t="shared" si="10"/>
        <v>65.202460416000008</v>
      </c>
      <c r="K23" s="29">
        <v>9.5299999999999994</v>
      </c>
      <c r="L23" s="150">
        <f t="shared" si="0"/>
        <v>73.880030825999995</v>
      </c>
      <c r="M23" s="29">
        <v>10.31</v>
      </c>
      <c r="N23" s="150">
        <f t="shared" si="1"/>
        <v>79.728564114000008</v>
      </c>
      <c r="O23" s="29">
        <v>14.27</v>
      </c>
      <c r="P23" s="150">
        <f t="shared" si="13"/>
        <v>108.958239666</v>
      </c>
      <c r="Q23" s="29">
        <v>12.7</v>
      </c>
      <c r="R23" s="150">
        <f t="shared" si="2"/>
        <v>97.462238400000004</v>
      </c>
      <c r="S23" s="29">
        <v>17.48</v>
      </c>
      <c r="T23" s="150">
        <f t="shared" si="3"/>
        <v>132.08442465600001</v>
      </c>
      <c r="U23" s="29">
        <v>21.44</v>
      </c>
      <c r="V23" s="150">
        <f t="shared" si="11"/>
        <v>159.91374758400002</v>
      </c>
      <c r="W23" s="29">
        <v>25.4</v>
      </c>
      <c r="X23" s="150">
        <f t="shared" si="6"/>
        <v>186.96965399999999</v>
      </c>
      <c r="Y23" s="29">
        <v>28.57</v>
      </c>
      <c r="Z23" s="150">
        <f t="shared" si="12"/>
        <v>208.07067594599999</v>
      </c>
      <c r="AA23" s="29">
        <v>33.32</v>
      </c>
      <c r="AB23" s="150">
        <f t="shared" si="7"/>
        <v>238.76121729600001</v>
      </c>
      <c r="AC23" s="29">
        <v>25.4</v>
      </c>
      <c r="AD23" s="152">
        <f t="shared" si="8"/>
        <v>186.96965399999999</v>
      </c>
      <c r="AE23" s="7"/>
    </row>
    <row r="24" spans="1:31" ht="16" customHeight="1">
      <c r="A24" s="5"/>
      <c r="B24" s="13" t="s">
        <v>25</v>
      </c>
      <c r="C24" s="14">
        <v>350</v>
      </c>
      <c r="D24" s="144">
        <v>355.6</v>
      </c>
      <c r="E24" s="15">
        <v>6.35</v>
      </c>
      <c r="F24" s="148">
        <f t="shared" ref="F24:F29" si="14">($D24-E24)*E24*0.02466</f>
        <v>54.689406749999996</v>
      </c>
      <c r="G24" s="17">
        <v>7.92</v>
      </c>
      <c r="H24" s="148">
        <f t="shared" si="9"/>
        <v>67.904407296000002</v>
      </c>
      <c r="I24" s="17">
        <v>9.5299999999999994</v>
      </c>
      <c r="J24" s="148">
        <f t="shared" si="10"/>
        <v>81.329841486000007</v>
      </c>
      <c r="K24" s="17">
        <v>9.5299999999999994</v>
      </c>
      <c r="L24" s="148">
        <f t="shared" si="0"/>
        <v>81.329841486000007</v>
      </c>
      <c r="M24" s="17">
        <v>11.13</v>
      </c>
      <c r="N24" s="148">
        <f t="shared" si="1"/>
        <v>94.545234126000025</v>
      </c>
      <c r="O24" s="17">
        <v>15.09</v>
      </c>
      <c r="P24" s="148">
        <f t="shared" si="13"/>
        <v>126.71037689400004</v>
      </c>
      <c r="Q24" s="17">
        <v>12.7</v>
      </c>
      <c r="R24" s="148">
        <f t="shared" si="2"/>
        <v>107.39010780000001</v>
      </c>
      <c r="S24" s="17">
        <v>19.05</v>
      </c>
      <c r="T24" s="148">
        <f t="shared" si="3"/>
        <v>158.10210315</v>
      </c>
      <c r="U24" s="17">
        <v>23.83</v>
      </c>
      <c r="V24" s="148">
        <f t="shared" si="11"/>
        <v>194.96391060600001</v>
      </c>
      <c r="W24" s="17">
        <v>27.79</v>
      </c>
      <c r="X24" s="148">
        <f t="shared" si="6"/>
        <v>224.64865193399999</v>
      </c>
      <c r="Y24" s="17">
        <v>31.75</v>
      </c>
      <c r="Z24" s="148">
        <f t="shared" si="12"/>
        <v>253.55997675000003</v>
      </c>
      <c r="AA24" s="17">
        <v>35.71</v>
      </c>
      <c r="AB24" s="148">
        <f t="shared" si="7"/>
        <v>281.69788505400004</v>
      </c>
      <c r="AC24" s="17"/>
      <c r="AD24" s="18"/>
      <c r="AE24" s="7"/>
    </row>
    <row r="25" spans="1:31" ht="16" customHeight="1">
      <c r="A25" s="5"/>
      <c r="B25" s="19" t="s">
        <v>26</v>
      </c>
      <c r="C25" s="20">
        <v>400</v>
      </c>
      <c r="D25" s="145">
        <v>406.4</v>
      </c>
      <c r="E25" s="21">
        <v>6.35</v>
      </c>
      <c r="F25" s="149">
        <f t="shared" si="14"/>
        <v>62.644229549999991</v>
      </c>
      <c r="G25" s="23">
        <v>7.92</v>
      </c>
      <c r="H25" s="149">
        <f t="shared" si="9"/>
        <v>77.826013055999994</v>
      </c>
      <c r="I25" s="23">
        <v>9.5299999999999994</v>
      </c>
      <c r="J25" s="149">
        <f t="shared" si="10"/>
        <v>93.268339325999989</v>
      </c>
      <c r="K25" s="23">
        <v>9.5299999999999994</v>
      </c>
      <c r="L25" s="149">
        <f t="shared" si="0"/>
        <v>93.268339325999989</v>
      </c>
      <c r="M25" s="23">
        <v>12.7</v>
      </c>
      <c r="N25" s="149">
        <f t="shared" si="1"/>
        <v>123.2997534</v>
      </c>
      <c r="O25" s="23">
        <v>16.66</v>
      </c>
      <c r="P25" s="149">
        <f t="shared" si="13"/>
        <v>160.11906674399998</v>
      </c>
      <c r="Q25" s="23">
        <v>12.7</v>
      </c>
      <c r="R25" s="149">
        <f t="shared" si="2"/>
        <v>123.2997534</v>
      </c>
      <c r="S25" s="23">
        <v>21.44</v>
      </c>
      <c r="T25" s="149">
        <f t="shared" si="3"/>
        <v>203.53235558400002</v>
      </c>
      <c r="U25" s="23">
        <v>26.19</v>
      </c>
      <c r="V25" s="149">
        <f t="shared" si="11"/>
        <v>245.55687953400002</v>
      </c>
      <c r="W25" s="23">
        <v>30.96</v>
      </c>
      <c r="X25" s="149">
        <f t="shared" si="6"/>
        <v>286.63852838400004</v>
      </c>
      <c r="Y25" s="23">
        <v>36.53</v>
      </c>
      <c r="Z25" s="149">
        <f t="shared" si="12"/>
        <v>333.18991812600001</v>
      </c>
      <c r="AA25" s="23">
        <v>40.49</v>
      </c>
      <c r="AB25" s="149">
        <f t="shared" si="7"/>
        <v>365.35506089400002</v>
      </c>
      <c r="AC25" s="23"/>
      <c r="AD25" s="24"/>
      <c r="AE25" s="7"/>
    </row>
    <row r="26" spans="1:31" ht="16" customHeight="1">
      <c r="A26" s="5"/>
      <c r="B26" s="25" t="s">
        <v>27</v>
      </c>
      <c r="C26" s="26">
        <v>450</v>
      </c>
      <c r="D26" s="146">
        <v>457</v>
      </c>
      <c r="E26" s="27">
        <v>6.35</v>
      </c>
      <c r="F26" s="150">
        <f t="shared" si="14"/>
        <v>70.567734149999993</v>
      </c>
      <c r="G26" s="29">
        <v>7.92</v>
      </c>
      <c r="H26" s="150">
        <f t="shared" si="9"/>
        <v>87.708557376000002</v>
      </c>
      <c r="I26" s="29">
        <v>11.13</v>
      </c>
      <c r="J26" s="150">
        <f t="shared" si="10"/>
        <v>122.37606624600002</v>
      </c>
      <c r="K26" s="29">
        <v>9.5299999999999994</v>
      </c>
      <c r="L26" s="150">
        <f t="shared" si="0"/>
        <v>105.15983520600001</v>
      </c>
      <c r="M26" s="29">
        <v>14.27</v>
      </c>
      <c r="N26" s="150">
        <f t="shared" si="1"/>
        <v>155.79589008600001</v>
      </c>
      <c r="O26" s="29">
        <v>19.05</v>
      </c>
      <c r="P26" s="150">
        <f t="shared" si="13"/>
        <v>205.73708535000003</v>
      </c>
      <c r="Q26" s="29">
        <v>12.7</v>
      </c>
      <c r="R26" s="150">
        <f t="shared" si="2"/>
        <v>139.14676259999999</v>
      </c>
      <c r="S26" s="29">
        <v>23.83</v>
      </c>
      <c r="T26" s="150">
        <f t="shared" si="3"/>
        <v>254.55139752600002</v>
      </c>
      <c r="U26" s="29">
        <v>29.36</v>
      </c>
      <c r="V26" s="150">
        <f t="shared" si="11"/>
        <v>309.61888646400001</v>
      </c>
      <c r="W26" s="29">
        <v>34.92</v>
      </c>
      <c r="X26" s="150">
        <f t="shared" si="6"/>
        <v>363.46456857600003</v>
      </c>
      <c r="Y26" s="29">
        <v>39.67</v>
      </c>
      <c r="Z26" s="150">
        <f t="shared" si="12"/>
        <v>408.25816392600007</v>
      </c>
      <c r="AA26" s="29">
        <v>45.24</v>
      </c>
      <c r="AB26" s="150">
        <f t="shared" si="7"/>
        <v>459.36703238400008</v>
      </c>
      <c r="AC26" s="29"/>
      <c r="AD26" s="30"/>
      <c r="AE26" s="7"/>
    </row>
    <row r="27" spans="1:31" ht="16" customHeight="1">
      <c r="A27" s="5"/>
      <c r="B27" s="13" t="s">
        <v>28</v>
      </c>
      <c r="C27" s="14">
        <v>500</v>
      </c>
      <c r="D27" s="144">
        <v>508</v>
      </c>
      <c r="E27" s="15">
        <v>6.35</v>
      </c>
      <c r="F27" s="148">
        <f t="shared" si="14"/>
        <v>78.553875149999996</v>
      </c>
      <c r="G27" s="17">
        <v>9.5299999999999994</v>
      </c>
      <c r="H27" s="148">
        <f t="shared" si="9"/>
        <v>117.14533500600001</v>
      </c>
      <c r="I27" s="17">
        <v>12.7</v>
      </c>
      <c r="J27" s="148">
        <f t="shared" si="10"/>
        <v>155.1190446</v>
      </c>
      <c r="K27" s="17">
        <v>9.5299999999999994</v>
      </c>
      <c r="L27" s="148">
        <f t="shared" si="0"/>
        <v>117.14533500600001</v>
      </c>
      <c r="M27" s="17">
        <v>15.09</v>
      </c>
      <c r="N27" s="148">
        <f t="shared" si="1"/>
        <v>183.42137345400002</v>
      </c>
      <c r="O27" s="17">
        <v>20.62</v>
      </c>
      <c r="P27" s="148">
        <f t="shared" si="13"/>
        <v>247.82746629600004</v>
      </c>
      <c r="Q27" s="17">
        <v>12.7</v>
      </c>
      <c r="R27" s="148">
        <f t="shared" si="2"/>
        <v>155.1190446</v>
      </c>
      <c r="S27" s="17">
        <v>26.19</v>
      </c>
      <c r="T27" s="148">
        <f t="shared" si="3"/>
        <v>311.174772174</v>
      </c>
      <c r="U27" s="17">
        <v>32.54</v>
      </c>
      <c r="V27" s="148">
        <f t="shared" si="11"/>
        <v>381.52641074400003</v>
      </c>
      <c r="W27" s="17">
        <v>38.1</v>
      </c>
      <c r="X27" s="148">
        <f t="shared" si="6"/>
        <v>441.49266539999996</v>
      </c>
      <c r="Y27" s="17">
        <v>44.45</v>
      </c>
      <c r="Z27" s="148">
        <f t="shared" si="12"/>
        <v>508.11430635000005</v>
      </c>
      <c r="AA27" s="17">
        <v>50.01</v>
      </c>
      <c r="AB27" s="148">
        <f t="shared" si="7"/>
        <v>564.81461033400001</v>
      </c>
      <c r="AC27" s="17"/>
      <c r="AD27" s="18"/>
      <c r="AE27" s="7"/>
    </row>
    <row r="28" spans="1:31" ht="16" customHeight="1">
      <c r="A28" s="5"/>
      <c r="B28" s="76" t="s">
        <v>86</v>
      </c>
      <c r="C28" s="14">
        <v>550</v>
      </c>
      <c r="D28" s="144">
        <v>558.79999999999995</v>
      </c>
      <c r="E28" s="15">
        <v>6.35</v>
      </c>
      <c r="F28" s="148">
        <f t="shared" si="14"/>
        <v>86.508697949999984</v>
      </c>
      <c r="G28" s="17">
        <v>9.5299999999999994</v>
      </c>
      <c r="H28" s="148">
        <f t="shared" si="9"/>
        <v>129.08383284600001</v>
      </c>
      <c r="I28" s="17">
        <v>12.7</v>
      </c>
      <c r="J28" s="148">
        <f t="shared" si="10"/>
        <v>171.02869019999997</v>
      </c>
      <c r="K28" s="17">
        <v>9.5299999999999994</v>
      </c>
      <c r="L28" s="148">
        <f t="shared" si="0"/>
        <v>129.08383284600001</v>
      </c>
      <c r="M28" s="17"/>
      <c r="N28" s="16"/>
      <c r="O28" s="17">
        <v>22.23</v>
      </c>
      <c r="P28" s="148">
        <f t="shared" si="13"/>
        <v>294.14327412599999</v>
      </c>
      <c r="Q28" s="17">
        <v>12.7</v>
      </c>
      <c r="R28" s="148">
        <f t="shared" si="2"/>
        <v>171.02869019999997</v>
      </c>
      <c r="S28" s="17">
        <v>28.58</v>
      </c>
      <c r="T28" s="148">
        <f t="shared" si="3"/>
        <v>373.68993621599998</v>
      </c>
      <c r="U28" s="17">
        <v>34.93</v>
      </c>
      <c r="V28" s="148">
        <f t="shared" si="11"/>
        <v>451.24789260599999</v>
      </c>
      <c r="W28" s="17">
        <v>41.28</v>
      </c>
      <c r="X28" s="148">
        <f t="shared" si="6"/>
        <v>526.81714329600004</v>
      </c>
      <c r="Y28" s="17">
        <v>47.63</v>
      </c>
      <c r="Z28" s="148">
        <f t="shared" si="12"/>
        <v>600.39768828600006</v>
      </c>
      <c r="AA28" s="17">
        <v>53.98</v>
      </c>
      <c r="AB28" s="148">
        <f t="shared" si="7"/>
        <v>671.989527576</v>
      </c>
      <c r="AC28" s="17"/>
      <c r="AD28" s="18"/>
      <c r="AE28" s="7"/>
    </row>
    <row r="29" spans="1:31" ht="16" customHeight="1" thickBot="1">
      <c r="A29" s="5"/>
      <c r="B29" s="31" t="s">
        <v>29</v>
      </c>
      <c r="C29" s="32">
        <v>600</v>
      </c>
      <c r="D29" s="147">
        <v>610</v>
      </c>
      <c r="E29" s="33">
        <v>6.35</v>
      </c>
      <c r="F29" s="151">
        <f t="shared" si="14"/>
        <v>94.526157150000003</v>
      </c>
      <c r="G29" s="34">
        <v>9.5299999999999994</v>
      </c>
      <c r="H29" s="151">
        <f t="shared" si="9"/>
        <v>141.11633460600001</v>
      </c>
      <c r="I29" s="34">
        <v>14.27</v>
      </c>
      <c r="J29" s="151">
        <f t="shared" si="10"/>
        <v>209.63631468600002</v>
      </c>
      <c r="K29" s="34">
        <v>9.5299999999999994</v>
      </c>
      <c r="L29" s="151">
        <f t="shared" si="0"/>
        <v>141.11633460600001</v>
      </c>
      <c r="M29" s="34">
        <v>17.48</v>
      </c>
      <c r="N29" s="151">
        <f t="shared" si="1"/>
        <v>255.40977513600001</v>
      </c>
      <c r="O29" s="34">
        <v>24.61</v>
      </c>
      <c r="P29" s="151">
        <f t="shared" si="13"/>
        <v>355.26300521399997</v>
      </c>
      <c r="Q29" s="34">
        <v>12.7</v>
      </c>
      <c r="R29" s="151">
        <f t="shared" si="2"/>
        <v>187.06360859999998</v>
      </c>
      <c r="S29" s="34">
        <v>30.96</v>
      </c>
      <c r="T29" s="151">
        <f t="shared" si="3"/>
        <v>442.08175334399999</v>
      </c>
      <c r="U29" s="34">
        <v>38.89</v>
      </c>
      <c r="V29" s="151">
        <f t="shared" si="11"/>
        <v>547.71013841399997</v>
      </c>
      <c r="W29" s="34">
        <v>46.02</v>
      </c>
      <c r="X29" s="151">
        <f t="shared" si="6"/>
        <v>640.03450773600014</v>
      </c>
      <c r="Y29" s="34">
        <v>52.37</v>
      </c>
      <c r="Z29" s="151">
        <f t="shared" si="12"/>
        <v>720.14802924600008</v>
      </c>
      <c r="AA29" s="34">
        <v>59.54</v>
      </c>
      <c r="AB29" s="151">
        <f t="shared" si="7"/>
        <v>808.21641794400011</v>
      </c>
      <c r="AC29" s="34"/>
      <c r="AD29" s="35"/>
      <c r="AE29" s="7"/>
    </row>
    <row r="30" spans="1:31" ht="16" customHeight="1">
      <c r="A30" s="5"/>
      <c r="AE30" s="7"/>
    </row>
    <row r="31" spans="1:31" ht="16" customHeight="1" thickBot="1">
      <c r="A31" s="5"/>
      <c r="B31" s="103" t="s">
        <v>173</v>
      </c>
      <c r="AE31" s="7"/>
    </row>
    <row r="32" spans="1:31" ht="16" customHeight="1" thickBot="1">
      <c r="A32" s="5"/>
      <c r="B32" s="141" t="s">
        <v>0</v>
      </c>
      <c r="C32" s="142" t="s">
        <v>1</v>
      </c>
      <c r="D32" s="143" t="s">
        <v>30</v>
      </c>
      <c r="E32" s="190" t="s">
        <v>31</v>
      </c>
      <c r="F32" s="191"/>
      <c r="G32" s="192" t="s">
        <v>32</v>
      </c>
      <c r="H32" s="191"/>
      <c r="I32" s="192" t="s">
        <v>33</v>
      </c>
      <c r="J32" s="191"/>
      <c r="K32" s="192" t="s">
        <v>34</v>
      </c>
      <c r="L32" s="191"/>
      <c r="M32" s="192" t="s">
        <v>35</v>
      </c>
      <c r="N32" s="191"/>
      <c r="O32" s="191" t="s">
        <v>3</v>
      </c>
      <c r="P32" s="191"/>
      <c r="Q32" s="191" t="s">
        <v>2</v>
      </c>
      <c r="R32" s="191"/>
      <c r="S32" s="191" t="s">
        <v>4</v>
      </c>
      <c r="T32" s="191"/>
      <c r="U32" s="191" t="s">
        <v>5</v>
      </c>
      <c r="V32" s="191"/>
      <c r="W32" s="191" t="s">
        <v>6</v>
      </c>
      <c r="X32" s="191"/>
      <c r="Y32" s="191" t="s">
        <v>7</v>
      </c>
      <c r="Z32" s="196"/>
      <c r="AA32" s="6"/>
      <c r="AE32" s="7"/>
    </row>
    <row r="33" spans="1:31" ht="16" customHeight="1">
      <c r="A33" s="5"/>
      <c r="B33" s="36" t="s">
        <v>42</v>
      </c>
      <c r="C33" s="37" t="s">
        <v>43</v>
      </c>
      <c r="D33" s="155">
        <v>10.5</v>
      </c>
      <c r="E33" s="38">
        <v>2</v>
      </c>
      <c r="F33" s="156">
        <v>0.41899999999999998</v>
      </c>
      <c r="G33" s="39"/>
      <c r="H33" s="40"/>
      <c r="I33" s="39"/>
      <c r="J33" s="40"/>
      <c r="K33" s="39"/>
      <c r="L33" s="40"/>
      <c r="M33" s="39">
        <v>1.7</v>
      </c>
      <c r="N33" s="156">
        <v>0.36899999999999999</v>
      </c>
      <c r="O33" s="39">
        <v>2.2000000000000002</v>
      </c>
      <c r="P33" s="156">
        <v>0.45</v>
      </c>
      <c r="Q33" s="39">
        <v>2.4</v>
      </c>
      <c r="R33" s="156">
        <v>0.47899999999999998</v>
      </c>
      <c r="S33" s="39"/>
      <c r="T33" s="40"/>
      <c r="U33" s="39"/>
      <c r="V33" s="40"/>
      <c r="W33" s="39"/>
      <c r="X33" s="40"/>
      <c r="Y33" s="39"/>
      <c r="Z33" s="41"/>
      <c r="AE33" s="7"/>
    </row>
    <row r="34" spans="1:31" ht="16" customHeight="1">
      <c r="A34" s="5"/>
      <c r="B34" s="13" t="s">
        <v>44</v>
      </c>
      <c r="C34" s="42" t="s">
        <v>45</v>
      </c>
      <c r="D34" s="144">
        <v>13.8</v>
      </c>
      <c r="E34" s="43">
        <v>2.2999999999999998</v>
      </c>
      <c r="F34" s="157">
        <v>0.65200000000000002</v>
      </c>
      <c r="G34" s="44"/>
      <c r="H34" s="45"/>
      <c r="I34" s="44"/>
      <c r="J34" s="46"/>
      <c r="K34" s="44"/>
      <c r="L34" s="46"/>
      <c r="M34" s="44">
        <v>2.2000000000000002</v>
      </c>
      <c r="N34" s="162">
        <v>0.629</v>
      </c>
      <c r="O34" s="44">
        <v>2.4</v>
      </c>
      <c r="P34" s="162">
        <v>0.67500000000000004</v>
      </c>
      <c r="Q34" s="44">
        <v>3</v>
      </c>
      <c r="R34" s="162">
        <v>0.79900000000000004</v>
      </c>
      <c r="S34" s="44"/>
      <c r="T34" s="47"/>
      <c r="U34" s="44"/>
      <c r="V34" s="47"/>
      <c r="W34" s="44"/>
      <c r="X34" s="47"/>
      <c r="Y34" s="44"/>
      <c r="Z34" s="48"/>
      <c r="AE34" s="7"/>
    </row>
    <row r="35" spans="1:31" ht="16" customHeight="1">
      <c r="A35" s="5"/>
      <c r="B35" s="19" t="s">
        <v>46</v>
      </c>
      <c r="C35" s="49" t="s">
        <v>41</v>
      </c>
      <c r="D35" s="145">
        <v>17.3</v>
      </c>
      <c r="E35" s="50">
        <v>2.2999999999999998</v>
      </c>
      <c r="F35" s="149">
        <v>0.85099999999999998</v>
      </c>
      <c r="G35" s="51"/>
      <c r="H35" s="22"/>
      <c r="I35" s="51"/>
      <c r="J35" s="22"/>
      <c r="K35" s="51"/>
      <c r="L35" s="22"/>
      <c r="M35" s="51">
        <v>2.2999999999999998</v>
      </c>
      <c r="N35" s="149">
        <v>0.85099999999999998</v>
      </c>
      <c r="O35" s="52">
        <v>2.8</v>
      </c>
      <c r="P35" s="149">
        <v>1</v>
      </c>
      <c r="Q35" s="52">
        <v>3.2</v>
      </c>
      <c r="R35" s="149">
        <v>1.1100000000000001</v>
      </c>
      <c r="S35" s="53"/>
      <c r="T35" s="54"/>
      <c r="U35" s="53"/>
      <c r="V35" s="54"/>
      <c r="W35" s="53"/>
      <c r="X35" s="54"/>
      <c r="Y35" s="52"/>
      <c r="Z35" s="24"/>
      <c r="AE35" s="7"/>
    </row>
    <row r="36" spans="1:31" ht="16" customHeight="1">
      <c r="A36" s="5"/>
      <c r="B36" s="25" t="s">
        <v>47</v>
      </c>
      <c r="C36" s="55" t="s">
        <v>48</v>
      </c>
      <c r="D36" s="146">
        <v>21.7</v>
      </c>
      <c r="E36" s="56">
        <v>2.8</v>
      </c>
      <c r="F36" s="150">
        <v>1.31</v>
      </c>
      <c r="G36" s="57"/>
      <c r="H36" s="28"/>
      <c r="I36" s="57"/>
      <c r="J36" s="28"/>
      <c r="K36" s="57"/>
      <c r="L36" s="28"/>
      <c r="M36" s="57">
        <v>2.8</v>
      </c>
      <c r="N36" s="150">
        <v>1.31</v>
      </c>
      <c r="O36" s="58">
        <v>3.2</v>
      </c>
      <c r="P36" s="150">
        <v>1.46</v>
      </c>
      <c r="Q36" s="58">
        <v>3.7</v>
      </c>
      <c r="R36" s="150">
        <v>1.64</v>
      </c>
      <c r="S36" s="59"/>
      <c r="T36" s="60"/>
      <c r="U36" s="59"/>
      <c r="V36" s="60"/>
      <c r="W36" s="59"/>
      <c r="X36" s="60"/>
      <c r="Y36" s="58">
        <v>4.7</v>
      </c>
      <c r="Z36" s="152">
        <v>1.97</v>
      </c>
      <c r="AE36" s="7"/>
    </row>
    <row r="37" spans="1:31" ht="16" customHeight="1">
      <c r="A37" s="5"/>
      <c r="B37" s="13" t="s">
        <v>49</v>
      </c>
      <c r="C37" s="42" t="s">
        <v>50</v>
      </c>
      <c r="D37" s="144">
        <v>27.2</v>
      </c>
      <c r="E37" s="43">
        <v>2.8</v>
      </c>
      <c r="F37" s="148">
        <v>1.68</v>
      </c>
      <c r="G37" s="61"/>
      <c r="H37" s="16"/>
      <c r="I37" s="61"/>
      <c r="J37" s="16"/>
      <c r="K37" s="61"/>
      <c r="L37" s="16"/>
      <c r="M37" s="61">
        <v>2.9</v>
      </c>
      <c r="N37" s="148">
        <v>1.74</v>
      </c>
      <c r="O37" s="44">
        <v>3.4</v>
      </c>
      <c r="P37" s="148">
        <v>2</v>
      </c>
      <c r="Q37" s="44">
        <v>3.9</v>
      </c>
      <c r="R37" s="148">
        <v>2.2400000000000002</v>
      </c>
      <c r="S37" s="62"/>
      <c r="T37" s="63"/>
      <c r="U37" s="62"/>
      <c r="V37" s="63"/>
      <c r="W37" s="62"/>
      <c r="X37" s="63"/>
      <c r="Y37" s="44">
        <v>5.5</v>
      </c>
      <c r="Z37" s="153">
        <v>2.94</v>
      </c>
      <c r="AE37" s="7"/>
    </row>
    <row r="38" spans="1:31" ht="16" customHeight="1">
      <c r="A38" s="5"/>
      <c r="B38" s="13" t="s">
        <v>51</v>
      </c>
      <c r="C38" s="42" t="s">
        <v>52</v>
      </c>
      <c r="D38" s="144">
        <v>34</v>
      </c>
      <c r="E38" s="43">
        <v>3.2</v>
      </c>
      <c r="F38" s="148">
        <v>2.4300000000000002</v>
      </c>
      <c r="G38" s="61"/>
      <c r="H38" s="16"/>
      <c r="I38" s="61"/>
      <c r="J38" s="16"/>
      <c r="K38" s="61"/>
      <c r="L38" s="16"/>
      <c r="M38" s="61">
        <v>3.4</v>
      </c>
      <c r="N38" s="148">
        <v>2.57</v>
      </c>
      <c r="O38" s="44">
        <v>3.9</v>
      </c>
      <c r="P38" s="148">
        <v>2.89</v>
      </c>
      <c r="Q38" s="44">
        <v>4.5</v>
      </c>
      <c r="R38" s="148">
        <v>3.27</v>
      </c>
      <c r="S38" s="62"/>
      <c r="T38" s="63"/>
      <c r="U38" s="62"/>
      <c r="V38" s="63"/>
      <c r="W38" s="62"/>
      <c r="X38" s="63"/>
      <c r="Y38" s="44">
        <v>6.4</v>
      </c>
      <c r="Z38" s="153">
        <v>4.3600000000000003</v>
      </c>
      <c r="AE38" s="7"/>
    </row>
    <row r="39" spans="1:31" ht="16" customHeight="1">
      <c r="A39" s="5"/>
      <c r="B39" s="13" t="s">
        <v>53</v>
      </c>
      <c r="C39" s="42" t="s">
        <v>54</v>
      </c>
      <c r="D39" s="144">
        <v>42.7</v>
      </c>
      <c r="E39" s="43">
        <v>3.5</v>
      </c>
      <c r="F39" s="148">
        <v>3.38</v>
      </c>
      <c r="G39" s="61"/>
      <c r="H39" s="16"/>
      <c r="I39" s="61"/>
      <c r="J39" s="16"/>
      <c r="K39" s="61"/>
      <c r="L39" s="16"/>
      <c r="M39" s="61">
        <v>3.6</v>
      </c>
      <c r="N39" s="148">
        <v>3.47</v>
      </c>
      <c r="O39" s="44">
        <v>4.5</v>
      </c>
      <c r="P39" s="148">
        <v>4.24</v>
      </c>
      <c r="Q39" s="44">
        <v>4.9000000000000004</v>
      </c>
      <c r="R39" s="148">
        <v>4.57</v>
      </c>
      <c r="S39" s="62"/>
      <c r="T39" s="63"/>
      <c r="U39" s="62"/>
      <c r="V39" s="63"/>
      <c r="W39" s="62"/>
      <c r="X39" s="63"/>
      <c r="Y39" s="44">
        <v>6.4</v>
      </c>
      <c r="Z39" s="153">
        <v>5.73</v>
      </c>
      <c r="AE39" s="7"/>
    </row>
    <row r="40" spans="1:31" ht="16" customHeight="1">
      <c r="A40" s="5"/>
      <c r="B40" s="19" t="s">
        <v>55</v>
      </c>
      <c r="C40" s="49" t="s">
        <v>56</v>
      </c>
      <c r="D40" s="145">
        <v>48.6</v>
      </c>
      <c r="E40" s="50">
        <v>3.5</v>
      </c>
      <c r="F40" s="149">
        <v>3.89</v>
      </c>
      <c r="G40" s="51"/>
      <c r="H40" s="22"/>
      <c r="I40" s="51"/>
      <c r="J40" s="22"/>
      <c r="K40" s="51"/>
      <c r="L40" s="22"/>
      <c r="M40" s="51">
        <v>3.7</v>
      </c>
      <c r="N40" s="149">
        <v>4.0999999999999996</v>
      </c>
      <c r="O40" s="52">
        <v>4.5</v>
      </c>
      <c r="P40" s="149">
        <v>4.8899999999999997</v>
      </c>
      <c r="Q40" s="52">
        <v>5.0999999999999996</v>
      </c>
      <c r="R40" s="149">
        <v>5.47</v>
      </c>
      <c r="S40" s="53"/>
      <c r="T40" s="54"/>
      <c r="U40" s="53"/>
      <c r="V40" s="54"/>
      <c r="W40" s="53"/>
      <c r="X40" s="54"/>
      <c r="Y40" s="52">
        <v>7.1</v>
      </c>
      <c r="Z40" s="154">
        <v>7.27</v>
      </c>
      <c r="AE40" s="7"/>
    </row>
    <row r="41" spans="1:31" ht="16" customHeight="1">
      <c r="A41" s="5"/>
      <c r="B41" s="25" t="s">
        <v>57</v>
      </c>
      <c r="C41" s="55" t="s">
        <v>58</v>
      </c>
      <c r="D41" s="146">
        <v>60.5</v>
      </c>
      <c r="E41" s="56">
        <v>3.8</v>
      </c>
      <c r="F41" s="150">
        <v>5.31</v>
      </c>
      <c r="G41" s="57"/>
      <c r="H41" s="28"/>
      <c r="I41" s="57">
        <v>3.2</v>
      </c>
      <c r="J41" s="150">
        <v>4.5199999999999996</v>
      </c>
      <c r="K41" s="57"/>
      <c r="L41" s="28"/>
      <c r="M41" s="57">
        <v>3.9</v>
      </c>
      <c r="N41" s="150">
        <v>5.44</v>
      </c>
      <c r="O41" s="58">
        <v>4.9000000000000004</v>
      </c>
      <c r="P41" s="150">
        <v>6.72</v>
      </c>
      <c r="Q41" s="58">
        <v>5.5</v>
      </c>
      <c r="R41" s="150">
        <v>7.46</v>
      </c>
      <c r="S41" s="59"/>
      <c r="T41" s="60"/>
      <c r="U41" s="59"/>
      <c r="V41" s="60"/>
      <c r="W41" s="59"/>
      <c r="X41" s="60"/>
      <c r="Y41" s="58">
        <v>8.6999999999999993</v>
      </c>
      <c r="Z41" s="146">
        <v>11.1</v>
      </c>
      <c r="AE41" s="7"/>
    </row>
    <row r="42" spans="1:31" ht="16" customHeight="1">
      <c r="A42" s="5"/>
      <c r="B42" s="13" t="s">
        <v>59</v>
      </c>
      <c r="C42" s="42" t="s">
        <v>60</v>
      </c>
      <c r="D42" s="144">
        <v>76.3</v>
      </c>
      <c r="E42" s="43">
        <v>4.2</v>
      </c>
      <c r="F42" s="148">
        <v>7.47</v>
      </c>
      <c r="G42" s="61"/>
      <c r="H42" s="16"/>
      <c r="I42" s="61">
        <v>4.5</v>
      </c>
      <c r="J42" s="148">
        <v>7.97</v>
      </c>
      <c r="K42" s="61"/>
      <c r="L42" s="16"/>
      <c r="M42" s="61">
        <v>5.2</v>
      </c>
      <c r="N42" s="148">
        <v>9.1199999999999992</v>
      </c>
      <c r="O42" s="44">
        <v>6</v>
      </c>
      <c r="P42" s="158">
        <v>10.4</v>
      </c>
      <c r="Q42" s="44">
        <v>7</v>
      </c>
      <c r="R42" s="158">
        <v>12</v>
      </c>
      <c r="S42" s="62"/>
      <c r="T42" s="63"/>
      <c r="U42" s="62"/>
      <c r="V42" s="63"/>
      <c r="W42" s="62"/>
      <c r="X42" s="63"/>
      <c r="Y42" s="44">
        <v>9.5</v>
      </c>
      <c r="Z42" s="144">
        <v>15.6</v>
      </c>
      <c r="AE42" s="7"/>
    </row>
    <row r="43" spans="1:31" ht="16" customHeight="1">
      <c r="A43" s="5"/>
      <c r="B43" s="13" t="s">
        <v>61</v>
      </c>
      <c r="C43" s="42" t="s">
        <v>62</v>
      </c>
      <c r="D43" s="144">
        <v>89.1</v>
      </c>
      <c r="E43" s="43">
        <v>4.2</v>
      </c>
      <c r="F43" s="148">
        <v>8.7899999999999991</v>
      </c>
      <c r="G43" s="61"/>
      <c r="H43" s="64"/>
      <c r="I43" s="61">
        <v>4.5</v>
      </c>
      <c r="J43" s="148">
        <v>9.39</v>
      </c>
      <c r="K43" s="61"/>
      <c r="L43" s="64"/>
      <c r="M43" s="61">
        <v>5.5</v>
      </c>
      <c r="N43" s="158">
        <v>11.3</v>
      </c>
      <c r="O43" s="44">
        <v>6.6</v>
      </c>
      <c r="P43" s="158">
        <v>13.4</v>
      </c>
      <c r="Q43" s="44">
        <v>7.6</v>
      </c>
      <c r="R43" s="158">
        <v>15.3</v>
      </c>
      <c r="S43" s="62"/>
      <c r="T43" s="63"/>
      <c r="U43" s="62"/>
      <c r="V43" s="63"/>
      <c r="W43" s="62"/>
      <c r="X43" s="63"/>
      <c r="Y43" s="44">
        <v>11.1</v>
      </c>
      <c r="Z43" s="144">
        <v>21.4</v>
      </c>
      <c r="AE43" s="7"/>
    </row>
    <row r="44" spans="1:31" ht="16" customHeight="1">
      <c r="A44" s="5"/>
      <c r="B44" s="13" t="s">
        <v>63</v>
      </c>
      <c r="C44" s="42" t="s">
        <v>64</v>
      </c>
      <c r="D44" s="144">
        <v>101.6</v>
      </c>
      <c r="E44" s="43">
        <v>4.2</v>
      </c>
      <c r="F44" s="158">
        <v>10.1</v>
      </c>
      <c r="G44" s="61"/>
      <c r="H44" s="64"/>
      <c r="I44" s="61">
        <v>4.5</v>
      </c>
      <c r="J44" s="158">
        <v>10.8</v>
      </c>
      <c r="K44" s="61"/>
      <c r="L44" s="64"/>
      <c r="M44" s="61">
        <v>5.7</v>
      </c>
      <c r="N44" s="158">
        <v>13.5</v>
      </c>
      <c r="O44" s="44">
        <v>7</v>
      </c>
      <c r="P44" s="158">
        <v>16.3</v>
      </c>
      <c r="Q44" s="44">
        <v>8.1</v>
      </c>
      <c r="R44" s="158">
        <v>18.7</v>
      </c>
      <c r="S44" s="62"/>
      <c r="T44" s="63"/>
      <c r="U44" s="62"/>
      <c r="V44" s="63"/>
      <c r="W44" s="62"/>
      <c r="X44" s="63"/>
      <c r="Y44" s="44">
        <v>12.7</v>
      </c>
      <c r="Z44" s="144">
        <v>27.8</v>
      </c>
      <c r="AE44" s="7"/>
    </row>
    <row r="45" spans="1:31" ht="16" customHeight="1">
      <c r="A45" s="5"/>
      <c r="B45" s="19" t="s">
        <v>65</v>
      </c>
      <c r="C45" s="49" t="s">
        <v>66</v>
      </c>
      <c r="D45" s="145">
        <v>114.3</v>
      </c>
      <c r="E45" s="50">
        <v>4.5</v>
      </c>
      <c r="F45" s="159">
        <v>12.2</v>
      </c>
      <c r="G45" s="51"/>
      <c r="H45" s="65"/>
      <c r="I45" s="51">
        <v>4.9000000000000004</v>
      </c>
      <c r="J45" s="159">
        <v>13.2</v>
      </c>
      <c r="K45" s="51"/>
      <c r="L45" s="65"/>
      <c r="M45" s="51">
        <v>6</v>
      </c>
      <c r="N45" s="159">
        <v>16</v>
      </c>
      <c r="O45" s="52">
        <v>7.1</v>
      </c>
      <c r="P45" s="159">
        <v>18.8</v>
      </c>
      <c r="Q45" s="52">
        <v>8.6</v>
      </c>
      <c r="R45" s="159">
        <v>22.4</v>
      </c>
      <c r="S45" s="53"/>
      <c r="T45" s="54"/>
      <c r="U45" s="52">
        <v>11.1</v>
      </c>
      <c r="V45" s="159">
        <v>28.2</v>
      </c>
      <c r="W45" s="53"/>
      <c r="X45" s="54"/>
      <c r="Y45" s="52">
        <v>13.5</v>
      </c>
      <c r="Z45" s="145">
        <v>33.6</v>
      </c>
      <c r="AE45" s="7"/>
    </row>
    <row r="46" spans="1:31" ht="16" customHeight="1">
      <c r="A46" s="5"/>
      <c r="B46" s="25" t="s">
        <v>67</v>
      </c>
      <c r="C46" s="55" t="s">
        <v>68</v>
      </c>
      <c r="D46" s="146">
        <v>139.80000000000001</v>
      </c>
      <c r="E46" s="56">
        <v>4.5</v>
      </c>
      <c r="F46" s="160">
        <v>15</v>
      </c>
      <c r="G46" s="57"/>
      <c r="H46" s="66"/>
      <c r="I46" s="57">
        <v>5.0999999999999996</v>
      </c>
      <c r="J46" s="160">
        <v>16.899999999999999</v>
      </c>
      <c r="K46" s="57"/>
      <c r="L46" s="66"/>
      <c r="M46" s="57">
        <v>6.6</v>
      </c>
      <c r="N46" s="160">
        <v>21.7</v>
      </c>
      <c r="O46" s="58">
        <v>8.1</v>
      </c>
      <c r="P46" s="160">
        <v>26.3</v>
      </c>
      <c r="Q46" s="58">
        <v>9.5</v>
      </c>
      <c r="R46" s="160">
        <v>30.5</v>
      </c>
      <c r="S46" s="59"/>
      <c r="T46" s="60"/>
      <c r="U46" s="58">
        <v>12.7</v>
      </c>
      <c r="V46" s="160">
        <v>39.799999999999997</v>
      </c>
      <c r="W46" s="59"/>
      <c r="X46" s="60"/>
      <c r="Y46" s="58">
        <v>15.9</v>
      </c>
      <c r="Z46" s="146">
        <v>48.6</v>
      </c>
      <c r="AE46" s="7"/>
    </row>
    <row r="47" spans="1:31" ht="16" customHeight="1">
      <c r="A47" s="5"/>
      <c r="B47" s="13" t="s">
        <v>69</v>
      </c>
      <c r="C47" s="42" t="s">
        <v>70</v>
      </c>
      <c r="D47" s="144">
        <v>165.2</v>
      </c>
      <c r="E47" s="43">
        <v>5</v>
      </c>
      <c r="F47" s="158">
        <v>19.8</v>
      </c>
      <c r="G47" s="61"/>
      <c r="H47" s="64"/>
      <c r="I47" s="61">
        <v>5.5</v>
      </c>
      <c r="J47" s="158">
        <v>21.7</v>
      </c>
      <c r="K47" s="61"/>
      <c r="L47" s="64"/>
      <c r="M47" s="61">
        <v>7.1</v>
      </c>
      <c r="N47" s="158">
        <v>27.7</v>
      </c>
      <c r="O47" s="44">
        <v>9.3000000000000007</v>
      </c>
      <c r="P47" s="158">
        <v>35.799999999999997</v>
      </c>
      <c r="Q47" s="44">
        <v>11</v>
      </c>
      <c r="R47" s="158">
        <v>41.8</v>
      </c>
      <c r="S47" s="62"/>
      <c r="T47" s="63"/>
      <c r="U47" s="44">
        <v>14.3</v>
      </c>
      <c r="V47" s="158">
        <v>53.2</v>
      </c>
      <c r="W47" s="62"/>
      <c r="X47" s="63"/>
      <c r="Y47" s="44">
        <v>18.2</v>
      </c>
      <c r="Z47" s="144">
        <v>66</v>
      </c>
      <c r="AE47" s="7"/>
    </row>
    <row r="48" spans="1:31" ht="16" customHeight="1">
      <c r="A48" s="5"/>
      <c r="B48" s="13" t="s">
        <v>71</v>
      </c>
      <c r="C48" s="42" t="s">
        <v>72</v>
      </c>
      <c r="D48" s="144">
        <v>216.3</v>
      </c>
      <c r="E48" s="43">
        <v>5.8</v>
      </c>
      <c r="F48" s="158">
        <v>30.1</v>
      </c>
      <c r="G48" s="61"/>
      <c r="H48" s="64"/>
      <c r="I48" s="61">
        <v>6.4</v>
      </c>
      <c r="J48" s="158">
        <v>33.1</v>
      </c>
      <c r="K48" s="61">
        <v>7</v>
      </c>
      <c r="L48" s="158">
        <v>36.1</v>
      </c>
      <c r="M48" s="61">
        <v>8.1999999999999993</v>
      </c>
      <c r="N48" s="158">
        <v>42.1</v>
      </c>
      <c r="O48" s="44">
        <v>10.3</v>
      </c>
      <c r="P48" s="158">
        <v>52.3</v>
      </c>
      <c r="Q48" s="44">
        <v>12.7</v>
      </c>
      <c r="R48" s="158">
        <v>63.8</v>
      </c>
      <c r="S48" s="44">
        <v>15.1</v>
      </c>
      <c r="T48" s="158">
        <v>74.900000000000006</v>
      </c>
      <c r="U48" s="44">
        <v>18.2</v>
      </c>
      <c r="V48" s="158">
        <v>88.9</v>
      </c>
      <c r="W48" s="44">
        <v>20.6</v>
      </c>
      <c r="X48" s="158">
        <v>99.4</v>
      </c>
      <c r="Y48" s="44">
        <v>23</v>
      </c>
      <c r="Z48" s="144">
        <v>110</v>
      </c>
      <c r="AE48" s="7"/>
    </row>
    <row r="49" spans="1:31" ht="16" customHeight="1">
      <c r="A49" s="5"/>
      <c r="B49" s="19" t="s">
        <v>73</v>
      </c>
      <c r="C49" s="49" t="s">
        <v>74</v>
      </c>
      <c r="D49" s="145">
        <v>267.39999999999998</v>
      </c>
      <c r="E49" s="50">
        <v>6.6</v>
      </c>
      <c r="F49" s="159">
        <v>42.4</v>
      </c>
      <c r="G49" s="51"/>
      <c r="H49" s="65"/>
      <c r="I49" s="51">
        <v>6.4</v>
      </c>
      <c r="J49" s="159">
        <v>41.2</v>
      </c>
      <c r="K49" s="51">
        <v>7.8</v>
      </c>
      <c r="L49" s="159">
        <v>49.9</v>
      </c>
      <c r="M49" s="51">
        <v>9.3000000000000007</v>
      </c>
      <c r="N49" s="159">
        <v>59.2</v>
      </c>
      <c r="O49" s="52">
        <v>12.7</v>
      </c>
      <c r="P49" s="159">
        <v>79.8</v>
      </c>
      <c r="Q49" s="52">
        <v>15.1</v>
      </c>
      <c r="R49" s="159">
        <v>93.9</v>
      </c>
      <c r="S49" s="52">
        <v>18.2</v>
      </c>
      <c r="T49" s="159">
        <v>112</v>
      </c>
      <c r="U49" s="52">
        <v>21.4</v>
      </c>
      <c r="V49" s="159">
        <v>130</v>
      </c>
      <c r="W49" s="52">
        <v>25.4</v>
      </c>
      <c r="X49" s="159">
        <v>152</v>
      </c>
      <c r="Y49" s="52">
        <v>28.6</v>
      </c>
      <c r="Z49" s="145">
        <v>168</v>
      </c>
      <c r="AA49" s="9"/>
      <c r="AE49" s="7"/>
    </row>
    <row r="50" spans="1:31" ht="16" customHeight="1">
      <c r="A50" s="5"/>
      <c r="B50" s="25" t="s">
        <v>75</v>
      </c>
      <c r="C50" s="55" t="s">
        <v>76</v>
      </c>
      <c r="D50" s="146">
        <v>318.5</v>
      </c>
      <c r="E50" s="56">
        <v>6.9</v>
      </c>
      <c r="F50" s="160">
        <v>53</v>
      </c>
      <c r="G50" s="57"/>
      <c r="H50" s="66"/>
      <c r="I50" s="57">
        <v>6.4</v>
      </c>
      <c r="J50" s="160">
        <v>49.3</v>
      </c>
      <c r="K50" s="57">
        <v>8.4</v>
      </c>
      <c r="L50" s="160">
        <v>64.2</v>
      </c>
      <c r="M50" s="57">
        <v>10.3</v>
      </c>
      <c r="N50" s="160">
        <v>78.3</v>
      </c>
      <c r="O50" s="58">
        <v>14.3</v>
      </c>
      <c r="P50" s="160">
        <v>107</v>
      </c>
      <c r="Q50" s="58">
        <v>17.399999999999999</v>
      </c>
      <c r="R50" s="160">
        <v>129</v>
      </c>
      <c r="S50" s="58">
        <v>21.4</v>
      </c>
      <c r="T50" s="160">
        <v>157</v>
      </c>
      <c r="U50" s="58">
        <v>25.4</v>
      </c>
      <c r="V50" s="160">
        <v>184</v>
      </c>
      <c r="W50" s="58">
        <v>28.6</v>
      </c>
      <c r="X50" s="160">
        <v>204</v>
      </c>
      <c r="Y50" s="58">
        <v>33.299999999999997</v>
      </c>
      <c r="Z50" s="146">
        <v>234</v>
      </c>
      <c r="AA50" s="73"/>
      <c r="AE50" s="7"/>
    </row>
    <row r="51" spans="1:31" ht="16" customHeight="1">
      <c r="A51" s="5"/>
      <c r="B51" s="13" t="s">
        <v>77</v>
      </c>
      <c r="C51" s="42" t="s">
        <v>78</v>
      </c>
      <c r="D51" s="144">
        <v>355.6</v>
      </c>
      <c r="E51" s="43">
        <v>7.9</v>
      </c>
      <c r="F51" s="158">
        <v>67.7</v>
      </c>
      <c r="G51" s="61">
        <v>6.4</v>
      </c>
      <c r="H51" s="158">
        <v>55.1</v>
      </c>
      <c r="I51" s="61">
        <v>7.9</v>
      </c>
      <c r="J51" s="158">
        <v>67.7</v>
      </c>
      <c r="K51" s="61">
        <v>9.5</v>
      </c>
      <c r="L51" s="158">
        <v>81.099999999999994</v>
      </c>
      <c r="M51" s="61">
        <v>11.1</v>
      </c>
      <c r="N51" s="158">
        <v>94.3</v>
      </c>
      <c r="O51" s="44">
        <v>15.1</v>
      </c>
      <c r="P51" s="158">
        <v>127</v>
      </c>
      <c r="Q51" s="44">
        <v>19</v>
      </c>
      <c r="R51" s="158">
        <v>158</v>
      </c>
      <c r="S51" s="44">
        <v>23.8</v>
      </c>
      <c r="T51" s="158">
        <v>195</v>
      </c>
      <c r="U51" s="44">
        <v>27.8</v>
      </c>
      <c r="V51" s="158">
        <v>225</v>
      </c>
      <c r="W51" s="44">
        <v>31.8</v>
      </c>
      <c r="X51" s="158">
        <v>254</v>
      </c>
      <c r="Y51" s="44">
        <v>35.700000000000003</v>
      </c>
      <c r="Z51" s="144">
        <v>282</v>
      </c>
      <c r="AA51" s="73"/>
      <c r="AE51" s="7"/>
    </row>
    <row r="52" spans="1:31" ht="16" customHeight="1">
      <c r="A52" s="5"/>
      <c r="B52" s="19" t="s">
        <v>79</v>
      </c>
      <c r="C52" s="49" t="s">
        <v>80</v>
      </c>
      <c r="D52" s="145">
        <v>406.4</v>
      </c>
      <c r="E52" s="50">
        <v>7.9</v>
      </c>
      <c r="F52" s="159">
        <v>77.599999999999994</v>
      </c>
      <c r="G52" s="51">
        <v>6.4</v>
      </c>
      <c r="H52" s="159">
        <v>63.1</v>
      </c>
      <c r="I52" s="51">
        <v>7.9</v>
      </c>
      <c r="J52" s="159">
        <v>77.599999999999994</v>
      </c>
      <c r="K52" s="51">
        <v>9.5</v>
      </c>
      <c r="L52" s="159">
        <v>93</v>
      </c>
      <c r="M52" s="51">
        <v>12.7</v>
      </c>
      <c r="N52" s="159">
        <v>123</v>
      </c>
      <c r="O52" s="52">
        <v>16.7</v>
      </c>
      <c r="P52" s="159">
        <v>160</v>
      </c>
      <c r="Q52" s="52">
        <v>21.4</v>
      </c>
      <c r="R52" s="159">
        <v>203</v>
      </c>
      <c r="S52" s="52">
        <v>26.2</v>
      </c>
      <c r="T52" s="159">
        <v>246</v>
      </c>
      <c r="U52" s="52">
        <v>30.9</v>
      </c>
      <c r="V52" s="159">
        <v>286</v>
      </c>
      <c r="W52" s="52">
        <v>36.5</v>
      </c>
      <c r="X52" s="159">
        <v>333</v>
      </c>
      <c r="Y52" s="52">
        <v>40.5</v>
      </c>
      <c r="Z52" s="145">
        <v>365</v>
      </c>
      <c r="AA52" s="73"/>
      <c r="AE52" s="7"/>
    </row>
    <row r="53" spans="1:31" ht="16" customHeight="1">
      <c r="A53" s="5"/>
      <c r="B53" s="25" t="s">
        <v>81</v>
      </c>
      <c r="C53" s="55" t="s">
        <v>82</v>
      </c>
      <c r="D53" s="146">
        <v>457.2</v>
      </c>
      <c r="E53" s="56">
        <v>7.9</v>
      </c>
      <c r="F53" s="160">
        <v>87.5</v>
      </c>
      <c r="G53" s="57">
        <v>6.4</v>
      </c>
      <c r="H53" s="160">
        <v>71.099999999999994</v>
      </c>
      <c r="I53" s="57">
        <v>7.9</v>
      </c>
      <c r="J53" s="160">
        <v>87.5</v>
      </c>
      <c r="K53" s="57">
        <v>11.1</v>
      </c>
      <c r="L53" s="160">
        <v>122</v>
      </c>
      <c r="M53" s="57">
        <v>14.3</v>
      </c>
      <c r="N53" s="160">
        <v>156</v>
      </c>
      <c r="O53" s="58">
        <v>19</v>
      </c>
      <c r="P53" s="160">
        <v>205</v>
      </c>
      <c r="Q53" s="58">
        <v>23.8</v>
      </c>
      <c r="R53" s="160">
        <v>254</v>
      </c>
      <c r="S53" s="58">
        <v>29.4</v>
      </c>
      <c r="T53" s="160">
        <v>310</v>
      </c>
      <c r="U53" s="58">
        <v>34.9</v>
      </c>
      <c r="V53" s="160">
        <v>363</v>
      </c>
      <c r="W53" s="58">
        <v>39.700000000000003</v>
      </c>
      <c r="X53" s="160">
        <v>409</v>
      </c>
      <c r="Y53" s="58">
        <v>45.2</v>
      </c>
      <c r="Z53" s="146">
        <v>459</v>
      </c>
      <c r="AA53" s="73"/>
      <c r="AE53" s="7"/>
    </row>
    <row r="54" spans="1:31" ht="16" customHeight="1">
      <c r="A54" s="5"/>
      <c r="B54" s="13" t="s">
        <v>83</v>
      </c>
      <c r="C54" s="42" t="s">
        <v>84</v>
      </c>
      <c r="D54" s="144">
        <v>508</v>
      </c>
      <c r="E54" s="43">
        <v>7.9</v>
      </c>
      <c r="F54" s="158">
        <v>97.4</v>
      </c>
      <c r="G54" s="61">
        <v>6.4</v>
      </c>
      <c r="H54" s="158">
        <v>79.2</v>
      </c>
      <c r="I54" s="61">
        <v>9.5</v>
      </c>
      <c r="J54" s="158">
        <v>117</v>
      </c>
      <c r="K54" s="61">
        <v>12.7</v>
      </c>
      <c r="L54" s="158">
        <v>155</v>
      </c>
      <c r="M54" s="61">
        <v>15.1</v>
      </c>
      <c r="N54" s="158">
        <v>184</v>
      </c>
      <c r="O54" s="44">
        <v>20.6</v>
      </c>
      <c r="P54" s="158">
        <v>248</v>
      </c>
      <c r="Q54" s="44">
        <v>26.2</v>
      </c>
      <c r="R54" s="158">
        <v>311</v>
      </c>
      <c r="S54" s="44">
        <v>32.5</v>
      </c>
      <c r="T54" s="158">
        <v>381</v>
      </c>
      <c r="U54" s="44">
        <v>38.1</v>
      </c>
      <c r="V54" s="158">
        <v>441</v>
      </c>
      <c r="W54" s="44">
        <v>44.4</v>
      </c>
      <c r="X54" s="158">
        <v>508</v>
      </c>
      <c r="Y54" s="44">
        <v>50</v>
      </c>
      <c r="Z54" s="144">
        <v>565</v>
      </c>
      <c r="AA54" s="73"/>
      <c r="AE54" s="7"/>
    </row>
    <row r="55" spans="1:31" ht="16" customHeight="1">
      <c r="A55" s="5"/>
      <c r="B55" s="13" t="s">
        <v>85</v>
      </c>
      <c r="C55" s="42" t="s">
        <v>86</v>
      </c>
      <c r="D55" s="144">
        <v>558.79999999999995</v>
      </c>
      <c r="E55" s="43"/>
      <c r="F55" s="64"/>
      <c r="G55" s="61">
        <v>6.4</v>
      </c>
      <c r="H55" s="158">
        <v>87.2</v>
      </c>
      <c r="I55" s="61">
        <v>9.5</v>
      </c>
      <c r="J55" s="158">
        <v>129</v>
      </c>
      <c r="K55" s="61">
        <v>12.7</v>
      </c>
      <c r="L55" s="158">
        <v>171</v>
      </c>
      <c r="M55" s="61">
        <v>15.9</v>
      </c>
      <c r="N55" s="158">
        <v>213</v>
      </c>
      <c r="O55" s="44">
        <v>22.2</v>
      </c>
      <c r="P55" s="158">
        <v>294</v>
      </c>
      <c r="Q55" s="44">
        <v>28.6</v>
      </c>
      <c r="R55" s="158">
        <v>374</v>
      </c>
      <c r="S55" s="44">
        <v>34.9</v>
      </c>
      <c r="T55" s="158">
        <v>451</v>
      </c>
      <c r="U55" s="44">
        <v>41.3</v>
      </c>
      <c r="V55" s="158">
        <v>527</v>
      </c>
      <c r="W55" s="44">
        <v>47.6</v>
      </c>
      <c r="X55" s="158">
        <v>600</v>
      </c>
      <c r="Y55" s="44">
        <v>54</v>
      </c>
      <c r="Z55" s="144">
        <v>672</v>
      </c>
      <c r="AA55" s="73"/>
      <c r="AE55" s="7"/>
    </row>
    <row r="56" spans="1:31" ht="16" customHeight="1" thickBot="1">
      <c r="A56" s="5"/>
      <c r="B56" s="31" t="s">
        <v>87</v>
      </c>
      <c r="C56" s="67" t="s">
        <v>88</v>
      </c>
      <c r="D56" s="147">
        <v>609.6</v>
      </c>
      <c r="E56" s="68"/>
      <c r="F56" s="69"/>
      <c r="G56" s="70">
        <v>6.4</v>
      </c>
      <c r="H56" s="161">
        <v>95.2</v>
      </c>
      <c r="I56" s="70">
        <v>9.5</v>
      </c>
      <c r="J56" s="161">
        <v>141</v>
      </c>
      <c r="K56" s="70">
        <v>12.7</v>
      </c>
      <c r="L56" s="161">
        <v>210</v>
      </c>
      <c r="M56" s="70">
        <v>17.5</v>
      </c>
      <c r="N56" s="161">
        <v>256</v>
      </c>
      <c r="O56" s="71">
        <v>24.6</v>
      </c>
      <c r="P56" s="161">
        <v>355</v>
      </c>
      <c r="Q56" s="71">
        <v>31</v>
      </c>
      <c r="R56" s="161">
        <v>442</v>
      </c>
      <c r="S56" s="71">
        <v>38.9</v>
      </c>
      <c r="T56" s="161">
        <v>547</v>
      </c>
      <c r="U56" s="71">
        <v>46</v>
      </c>
      <c r="V56" s="161">
        <v>639</v>
      </c>
      <c r="W56" s="71">
        <v>52.4</v>
      </c>
      <c r="X56" s="161">
        <v>720</v>
      </c>
      <c r="Y56" s="71">
        <v>59.5</v>
      </c>
      <c r="Z56" s="147">
        <v>807</v>
      </c>
      <c r="AE56" s="7"/>
    </row>
    <row r="57" spans="1:31" ht="10" customHeight="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</row>
  </sheetData>
  <mergeCells count="25">
    <mergeCell ref="AA5:AB5"/>
    <mergeCell ref="AC5:AD5"/>
    <mergeCell ref="M5:N5"/>
    <mergeCell ref="O5:P5"/>
    <mergeCell ref="Y5:Z5"/>
    <mergeCell ref="Q5:R5"/>
    <mergeCell ref="S5:T5"/>
    <mergeCell ref="U5:V5"/>
    <mergeCell ref="W5:X5"/>
    <mergeCell ref="W32:X32"/>
    <mergeCell ref="Y32:Z32"/>
    <mergeCell ref="M32:N32"/>
    <mergeCell ref="O32:P32"/>
    <mergeCell ref="Q32:R32"/>
    <mergeCell ref="S32:T32"/>
    <mergeCell ref="E32:F32"/>
    <mergeCell ref="G32:H32"/>
    <mergeCell ref="B2:L2"/>
    <mergeCell ref="U32:V32"/>
    <mergeCell ref="I32:J32"/>
    <mergeCell ref="K32:L32"/>
    <mergeCell ref="E5:F5"/>
    <mergeCell ref="G5:H5"/>
    <mergeCell ref="I5:J5"/>
    <mergeCell ref="K5:L5"/>
  </mergeCells>
  <phoneticPr fontId="1" type="noConversion"/>
  <printOptions horizontalCentered="1" verticalCentered="1"/>
  <pageMargins left="0" right="0" top="0" bottom="0" header="0" footer="0"/>
  <pageSetup paperSize="9" scale="61" orientation="landscape" r:id="rId1"/>
  <headerFooter alignWithMargins="0"/>
  <ignoredErrors>
    <ignoredError sqref="C45:C56 C38 C41 C43 B11 B28:B29 B18:B27" numberStoredAsText="1"/>
    <ignoredError sqref="C39:C40 C42 C44 B12:B1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8"/>
  <sheetViews>
    <sheetView showGridLines="0" zoomScale="55" zoomScaleNormal="55" workbookViewId="0"/>
  </sheetViews>
  <sheetFormatPr defaultColWidth="9.1640625" defaultRowHeight="11.6"/>
  <cols>
    <col min="1" max="1" width="2.75" style="4" customWidth="1"/>
    <col min="2" max="3" width="6.75" style="4" customWidth="1"/>
    <col min="4" max="4" width="9.1640625" style="4"/>
    <col min="5" max="5" width="8.75" style="4" customWidth="1"/>
    <col min="6" max="6" width="8" style="4" customWidth="1"/>
    <col min="7" max="7" width="7.83203125" style="4" customWidth="1"/>
    <col min="8" max="8" width="9.1640625" style="4"/>
    <col min="9" max="9" width="8.75" style="4" customWidth="1"/>
    <col min="10" max="10" width="9.25" style="4" customWidth="1"/>
    <col min="11" max="11" width="8.75" style="4" customWidth="1"/>
    <col min="12" max="12" width="9.25" style="4" customWidth="1"/>
    <col min="13" max="13" width="8.75" style="4" customWidth="1"/>
    <col min="14" max="14" width="9.25" style="4" customWidth="1"/>
    <col min="15" max="15" width="8.75" style="4" customWidth="1"/>
    <col min="16" max="16" width="9.25" style="4" customWidth="1"/>
    <col min="17" max="17" width="8.75" style="4" customWidth="1"/>
    <col min="18" max="18" width="9.25" style="4" customWidth="1"/>
    <col min="19" max="19" width="8.75" style="4" customWidth="1"/>
    <col min="20" max="20" width="9.25" style="4" customWidth="1"/>
    <col min="21" max="21" width="8.75" style="4" customWidth="1"/>
    <col min="22" max="22" width="9.25" style="4" customWidth="1"/>
    <col min="23" max="23" width="8.75" style="4" customWidth="1"/>
    <col min="24" max="24" width="9.25" style="4" customWidth="1"/>
    <col min="25" max="25" width="8.75" style="4" customWidth="1"/>
    <col min="26" max="26" width="4.75" style="4" customWidth="1"/>
    <col min="27" max="27" width="3.75" style="4" customWidth="1"/>
    <col min="28" max="28" width="9.25" style="4" customWidth="1"/>
    <col min="29" max="29" width="16.1640625" style="4" customWidth="1"/>
    <col min="30" max="30" width="9.25" style="4" customWidth="1"/>
    <col min="31" max="31" width="3.75" style="4" customWidth="1"/>
    <col min="32" max="32" width="2.75" style="4" customWidth="1"/>
    <col min="33" max="34" width="7.58203125" style="4" customWidth="1"/>
    <col min="35" max="16384" width="9.1640625" style="4"/>
  </cols>
  <sheetData>
    <row r="1" spans="1:32" ht="10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spans="1:32" ht="16" customHeight="1">
      <c r="A2" s="5"/>
      <c r="B2" s="219" t="s">
        <v>142</v>
      </c>
      <c r="C2" s="220"/>
      <c r="D2" s="220"/>
      <c r="E2" s="220"/>
      <c r="F2" s="220"/>
      <c r="G2" s="220"/>
      <c r="H2" s="220"/>
      <c r="I2" s="220"/>
      <c r="J2" s="220"/>
      <c r="K2" s="220"/>
      <c r="L2" s="221"/>
      <c r="M2" s="6"/>
      <c r="N2" s="6"/>
      <c r="O2" s="6"/>
      <c r="AF2" s="7"/>
    </row>
    <row r="3" spans="1:32" ht="16" customHeight="1" thickBot="1">
      <c r="A3" s="5"/>
      <c r="B3" s="222"/>
      <c r="C3" s="223"/>
      <c r="D3" s="223"/>
      <c r="E3" s="223"/>
      <c r="F3" s="223"/>
      <c r="G3" s="223"/>
      <c r="H3" s="223"/>
      <c r="I3" s="223"/>
      <c r="J3" s="223"/>
      <c r="K3" s="223"/>
      <c r="L3" s="224"/>
      <c r="AF3" s="7"/>
    </row>
    <row r="4" spans="1:32" ht="16" customHeight="1">
      <c r="A4" s="5"/>
      <c r="AF4" s="7"/>
    </row>
    <row r="5" spans="1:32" ht="16" customHeight="1" thickBot="1">
      <c r="A5" s="5"/>
      <c r="B5" s="103" t="s">
        <v>173</v>
      </c>
      <c r="AA5" s="11"/>
      <c r="AB5" s="11"/>
      <c r="AC5" s="11"/>
      <c r="AD5" s="11"/>
      <c r="AE5" s="11"/>
      <c r="AF5" s="7"/>
    </row>
    <row r="6" spans="1:32" ht="16" customHeight="1">
      <c r="A6" s="5"/>
      <c r="B6" s="235" t="s">
        <v>150</v>
      </c>
      <c r="C6" s="216"/>
      <c r="D6" s="218"/>
      <c r="E6" s="235" t="s">
        <v>151</v>
      </c>
      <c r="F6" s="216"/>
      <c r="G6" s="216"/>
      <c r="H6" s="215" t="s">
        <v>156</v>
      </c>
      <c r="I6" s="216"/>
      <c r="J6" s="217"/>
      <c r="K6" s="215" t="s">
        <v>157</v>
      </c>
      <c r="L6" s="216"/>
      <c r="M6" s="217"/>
      <c r="N6" s="215" t="s">
        <v>158</v>
      </c>
      <c r="O6" s="216"/>
      <c r="P6" s="217"/>
      <c r="Q6" s="215" t="s">
        <v>146</v>
      </c>
      <c r="R6" s="216"/>
      <c r="S6" s="217"/>
      <c r="T6" s="215" t="s">
        <v>159</v>
      </c>
      <c r="U6" s="216"/>
      <c r="V6" s="217"/>
      <c r="W6" s="215" t="s">
        <v>160</v>
      </c>
      <c r="X6" s="216"/>
      <c r="Y6" s="218"/>
      <c r="Z6" s="6"/>
      <c r="AA6" s="94"/>
      <c r="AB6" s="202" t="s">
        <v>94</v>
      </c>
      <c r="AC6" s="203"/>
      <c r="AD6" s="204"/>
      <c r="AE6" s="95"/>
      <c r="AF6" s="7"/>
    </row>
    <row r="7" spans="1:32" ht="16" customHeight="1">
      <c r="A7" s="5"/>
      <c r="B7" s="225" t="s">
        <v>147</v>
      </c>
      <c r="C7" s="227" t="s">
        <v>148</v>
      </c>
      <c r="D7" s="229" t="s">
        <v>149</v>
      </c>
      <c r="E7" s="225" t="s">
        <v>152</v>
      </c>
      <c r="F7" s="212" t="s">
        <v>153</v>
      </c>
      <c r="G7" s="236"/>
      <c r="H7" s="210" t="s">
        <v>152</v>
      </c>
      <c r="I7" s="212" t="s">
        <v>153</v>
      </c>
      <c r="J7" s="214"/>
      <c r="K7" s="210" t="s">
        <v>152</v>
      </c>
      <c r="L7" s="212" t="s">
        <v>153</v>
      </c>
      <c r="M7" s="214"/>
      <c r="N7" s="210" t="s">
        <v>152</v>
      </c>
      <c r="O7" s="212" t="s">
        <v>153</v>
      </c>
      <c r="P7" s="214"/>
      <c r="Q7" s="210" t="s">
        <v>152</v>
      </c>
      <c r="R7" s="212" t="s">
        <v>153</v>
      </c>
      <c r="S7" s="214"/>
      <c r="T7" s="210" t="s">
        <v>152</v>
      </c>
      <c r="U7" s="212" t="s">
        <v>153</v>
      </c>
      <c r="V7" s="214"/>
      <c r="W7" s="210" t="s">
        <v>152</v>
      </c>
      <c r="X7" s="212" t="s">
        <v>153</v>
      </c>
      <c r="Y7" s="213"/>
      <c r="Z7" s="6"/>
      <c r="AA7" s="94"/>
      <c r="AB7" s="205"/>
      <c r="AC7" s="206"/>
      <c r="AD7" s="207"/>
      <c r="AE7" s="95"/>
      <c r="AF7" s="7"/>
    </row>
    <row r="8" spans="1:32" ht="16" customHeight="1" thickBot="1">
      <c r="A8" s="5"/>
      <c r="B8" s="226"/>
      <c r="C8" s="228"/>
      <c r="D8" s="230"/>
      <c r="E8" s="226"/>
      <c r="F8" s="163" t="s">
        <v>154</v>
      </c>
      <c r="G8" s="164" t="s">
        <v>155</v>
      </c>
      <c r="H8" s="211"/>
      <c r="I8" s="163" t="s">
        <v>154</v>
      </c>
      <c r="J8" s="165" t="s">
        <v>155</v>
      </c>
      <c r="K8" s="211"/>
      <c r="L8" s="163" t="s">
        <v>154</v>
      </c>
      <c r="M8" s="165" t="s">
        <v>155</v>
      </c>
      <c r="N8" s="211"/>
      <c r="O8" s="163" t="s">
        <v>154</v>
      </c>
      <c r="P8" s="165" t="s">
        <v>155</v>
      </c>
      <c r="Q8" s="211"/>
      <c r="R8" s="163" t="s">
        <v>154</v>
      </c>
      <c r="S8" s="165" t="s">
        <v>155</v>
      </c>
      <c r="T8" s="211"/>
      <c r="U8" s="163" t="s">
        <v>154</v>
      </c>
      <c r="V8" s="165" t="s">
        <v>155</v>
      </c>
      <c r="W8" s="211"/>
      <c r="X8" s="163" t="s">
        <v>154</v>
      </c>
      <c r="Y8" s="166" t="s">
        <v>155</v>
      </c>
      <c r="Z8" s="6"/>
      <c r="AA8" s="94"/>
      <c r="AE8" s="7"/>
      <c r="AF8" s="7"/>
    </row>
    <row r="9" spans="1:32" ht="16" customHeight="1">
      <c r="A9" s="5"/>
      <c r="B9" s="36" t="s">
        <v>107</v>
      </c>
      <c r="C9" s="37" t="s">
        <v>108</v>
      </c>
      <c r="D9" s="155">
        <v>10.5</v>
      </c>
      <c r="E9" s="38">
        <v>1</v>
      </c>
      <c r="F9" s="167">
        <f t="shared" ref="F9:F26" si="0">ROUND(($D9-E9)*E9*0.02491,3)</f>
        <v>0.23699999999999999</v>
      </c>
      <c r="G9" s="168">
        <f>ROUND(($D9-E9)*E9*0.02507,3)</f>
        <v>0.23799999999999999</v>
      </c>
      <c r="H9" s="39">
        <v>1.2</v>
      </c>
      <c r="I9" s="167">
        <f>ROUND(($D9-H9)*H9*0.02491,3)</f>
        <v>0.27800000000000002</v>
      </c>
      <c r="J9" s="156">
        <f>ROUND(($D9-H9)*H9*0.02507,3)</f>
        <v>0.28000000000000003</v>
      </c>
      <c r="K9" s="39">
        <v>1.5</v>
      </c>
      <c r="L9" s="167">
        <f t="shared" ref="L9:L19" si="1">ROUND(($D9-K9)*K9*0.02491,3)</f>
        <v>0.33600000000000002</v>
      </c>
      <c r="M9" s="156">
        <f>ROUND(($D9-K9)*K9*0.02507,3)</f>
        <v>0.33800000000000002</v>
      </c>
      <c r="N9" s="39">
        <v>1.7</v>
      </c>
      <c r="O9" s="167">
        <f>ROUND(($D9-N9)*N9*0.02491,3)</f>
        <v>0.373</v>
      </c>
      <c r="P9" s="156">
        <f>ROUND(($D9-N9)*N9*0.02507,3)</f>
        <v>0.375</v>
      </c>
      <c r="Q9" s="39">
        <v>2.4</v>
      </c>
      <c r="R9" s="167">
        <f>ROUND(($D9-Q9)*Q9*0.02491,3)</f>
        <v>0.48399999999999999</v>
      </c>
      <c r="S9" s="156">
        <f>ROUND(($D9-Q9)*Q9*0.02507,3)</f>
        <v>0.48699999999999999</v>
      </c>
      <c r="T9" s="39"/>
      <c r="U9" s="78"/>
      <c r="V9" s="84"/>
      <c r="W9" s="39"/>
      <c r="X9" s="78"/>
      <c r="Y9" s="87"/>
      <c r="AA9" s="5"/>
      <c r="AB9" s="90" t="s">
        <v>161</v>
      </c>
      <c r="AE9" s="7"/>
      <c r="AF9" s="7"/>
    </row>
    <row r="10" spans="1:32" ht="16" customHeight="1">
      <c r="A10" s="5"/>
      <c r="B10" s="13" t="s">
        <v>109</v>
      </c>
      <c r="C10" s="42" t="s">
        <v>110</v>
      </c>
      <c r="D10" s="144">
        <v>13.8</v>
      </c>
      <c r="E10" s="43">
        <v>1.2</v>
      </c>
      <c r="F10" s="169">
        <f t="shared" si="0"/>
        <v>0.377</v>
      </c>
      <c r="G10" s="170">
        <f t="shared" ref="G10:G26" si="2">ROUND(($D10-E10)*E10*0.02507,3)</f>
        <v>0.379</v>
      </c>
      <c r="H10" s="17">
        <v>1.65</v>
      </c>
      <c r="I10" s="169">
        <f>ROUND(($D10-H10)*H10*0.02491,3)</f>
        <v>0.499</v>
      </c>
      <c r="J10" s="157">
        <f>ROUND(($D10-H10)*H10*0.02507,3)</f>
        <v>0.503</v>
      </c>
      <c r="K10" s="44">
        <v>2</v>
      </c>
      <c r="L10" s="169">
        <f t="shared" si="1"/>
        <v>0.58799999999999997</v>
      </c>
      <c r="M10" s="157">
        <f t="shared" ref="M10:M26" si="3">ROUND(($D10-K10)*K10*0.02507,3)</f>
        <v>0.59199999999999997</v>
      </c>
      <c r="N10" s="44">
        <v>2.2000000000000002</v>
      </c>
      <c r="O10" s="169">
        <f>ROUND(($D10-N10)*N10*0.02491,3)</f>
        <v>0.63600000000000001</v>
      </c>
      <c r="P10" s="157">
        <f>ROUND(($D10-N10)*N10*0.02507,3)</f>
        <v>0.64</v>
      </c>
      <c r="Q10" s="44">
        <v>3</v>
      </c>
      <c r="R10" s="169">
        <f>ROUND(($D10-Q10)*Q10*0.02491,3)</f>
        <v>0.80700000000000005</v>
      </c>
      <c r="S10" s="157">
        <f>ROUND(($D10-Q10)*Q10*0.02507,3)</f>
        <v>0.81200000000000006</v>
      </c>
      <c r="T10" s="44"/>
      <c r="U10" s="79"/>
      <c r="V10" s="64"/>
      <c r="W10" s="44"/>
      <c r="X10" s="79"/>
      <c r="Y10" s="88"/>
      <c r="AA10" s="5"/>
      <c r="AB10" s="90" t="s">
        <v>162</v>
      </c>
      <c r="AE10" s="7"/>
      <c r="AF10" s="7"/>
    </row>
    <row r="11" spans="1:32" ht="16" customHeight="1">
      <c r="A11" s="5"/>
      <c r="B11" s="19" t="s">
        <v>111</v>
      </c>
      <c r="C11" s="49" t="s">
        <v>106</v>
      </c>
      <c r="D11" s="145">
        <v>17.3</v>
      </c>
      <c r="E11" s="50">
        <v>1.2</v>
      </c>
      <c r="F11" s="171">
        <f t="shared" si="0"/>
        <v>0.48099999999999998</v>
      </c>
      <c r="G11" s="172">
        <f t="shared" si="2"/>
        <v>0.48399999999999999</v>
      </c>
      <c r="H11" s="23">
        <v>1.65</v>
      </c>
      <c r="I11" s="171">
        <f>ROUND(($D11-H11)*H11*0.02491,3)</f>
        <v>0.64300000000000002</v>
      </c>
      <c r="J11" s="187">
        <f>ROUND(($D11-H11)*H11*0.02507,3)</f>
        <v>0.64700000000000002</v>
      </c>
      <c r="K11" s="52">
        <v>2</v>
      </c>
      <c r="L11" s="171">
        <f t="shared" si="1"/>
        <v>0.76200000000000001</v>
      </c>
      <c r="M11" s="187">
        <f t="shared" si="3"/>
        <v>0.76700000000000002</v>
      </c>
      <c r="N11" s="52">
        <v>2.2999999999999998</v>
      </c>
      <c r="O11" s="171">
        <f>ROUND(($D11-N11)*N11*0.02491,3)</f>
        <v>0.85899999999999999</v>
      </c>
      <c r="P11" s="187">
        <f>ROUND(($D11-N11)*N11*0.02507,3)</f>
        <v>0.86499999999999999</v>
      </c>
      <c r="Q11" s="52">
        <v>3.2</v>
      </c>
      <c r="R11" s="177">
        <f t="shared" ref="R11:R17" si="4">ROUND(($D11-Q11)*Q11*0.02491,2)</f>
        <v>1.1200000000000001</v>
      </c>
      <c r="S11" s="149">
        <f t="shared" ref="S11:S17" si="5">ROUND(($D11-Q11)*Q11*0.02507,2)</f>
        <v>1.1299999999999999</v>
      </c>
      <c r="T11" s="52"/>
      <c r="U11" s="80"/>
      <c r="V11" s="65"/>
      <c r="W11" s="52"/>
      <c r="X11" s="80"/>
      <c r="Y11" s="89"/>
      <c r="AA11" s="5"/>
      <c r="AB11" s="90" t="s">
        <v>163</v>
      </c>
      <c r="AE11" s="7"/>
      <c r="AF11" s="7"/>
    </row>
    <row r="12" spans="1:32" ht="16" customHeight="1">
      <c r="A12" s="5"/>
      <c r="B12" s="25" t="s">
        <v>112</v>
      </c>
      <c r="C12" s="55" t="s">
        <v>113</v>
      </c>
      <c r="D12" s="146">
        <v>21.7</v>
      </c>
      <c r="E12" s="27">
        <v>1.65</v>
      </c>
      <c r="F12" s="173">
        <f t="shared" si="0"/>
        <v>0.82399999999999995</v>
      </c>
      <c r="G12" s="174">
        <f t="shared" si="2"/>
        <v>0.82899999999999996</v>
      </c>
      <c r="H12" s="58">
        <v>2.1</v>
      </c>
      <c r="I12" s="179">
        <f>ROUND(($D12-H12)*H12*0.02491,2)</f>
        <v>1.03</v>
      </c>
      <c r="J12" s="150">
        <f>ROUND(($D12-H12)*H12*0.02507,2)</f>
        <v>1.03</v>
      </c>
      <c r="K12" s="58">
        <v>2.5</v>
      </c>
      <c r="L12" s="179">
        <f t="shared" si="1"/>
        <v>1.196</v>
      </c>
      <c r="M12" s="150">
        <f t="shared" si="3"/>
        <v>1.2030000000000001</v>
      </c>
      <c r="N12" s="58">
        <v>2.8</v>
      </c>
      <c r="O12" s="179">
        <f t="shared" ref="O12:O18" si="6">ROUND(($D12-M12)*M12*0.02507,2)</f>
        <v>0.62</v>
      </c>
      <c r="P12" s="150">
        <f t="shared" ref="P12:P18" si="7">ROUND(($D12-N12)*N12*0.02507,2)</f>
        <v>1.33</v>
      </c>
      <c r="Q12" s="58">
        <v>3.7</v>
      </c>
      <c r="R12" s="179">
        <f t="shared" si="4"/>
        <v>1.66</v>
      </c>
      <c r="S12" s="150">
        <f t="shared" si="5"/>
        <v>1.67</v>
      </c>
      <c r="T12" s="58"/>
      <c r="U12" s="81"/>
      <c r="V12" s="66"/>
      <c r="W12" s="58">
        <v>4.7</v>
      </c>
      <c r="X12" s="179">
        <f>ROUND(($D12-W12)*W12*0.02491,2)</f>
        <v>1.99</v>
      </c>
      <c r="Y12" s="152">
        <f>ROUND(($D12-W12)*W12*0.02507,2)</f>
        <v>2</v>
      </c>
      <c r="AA12" s="5"/>
      <c r="AB12" s="90" t="s">
        <v>164</v>
      </c>
      <c r="AE12" s="7"/>
      <c r="AF12" s="7"/>
    </row>
    <row r="13" spans="1:32" ht="16" customHeight="1">
      <c r="A13" s="5"/>
      <c r="B13" s="13" t="s">
        <v>114</v>
      </c>
      <c r="C13" s="42" t="s">
        <v>115</v>
      </c>
      <c r="D13" s="144">
        <v>27.2</v>
      </c>
      <c r="E13" s="27">
        <v>1.65</v>
      </c>
      <c r="F13" s="175">
        <f t="shared" si="0"/>
        <v>1.05</v>
      </c>
      <c r="G13" s="176">
        <f t="shared" si="2"/>
        <v>1.0569999999999999</v>
      </c>
      <c r="H13" s="44">
        <v>2.1</v>
      </c>
      <c r="I13" s="175">
        <f t="shared" ref="I13:I21" si="8">ROUND(($D13-H13)*H13*0.02491,2)</f>
        <v>1.31</v>
      </c>
      <c r="J13" s="148">
        <f t="shared" ref="J13:J21" si="9">ROUND(($D13-H13)*H13*0.02507,2)</f>
        <v>1.32</v>
      </c>
      <c r="K13" s="44">
        <v>2.5</v>
      </c>
      <c r="L13" s="175">
        <f t="shared" si="1"/>
        <v>1.538</v>
      </c>
      <c r="M13" s="148">
        <f t="shared" si="3"/>
        <v>1.548</v>
      </c>
      <c r="N13" s="44">
        <v>2.9</v>
      </c>
      <c r="O13" s="175">
        <f t="shared" si="6"/>
        <v>1</v>
      </c>
      <c r="P13" s="148">
        <f t="shared" si="7"/>
        <v>1.77</v>
      </c>
      <c r="Q13" s="44">
        <v>3.9</v>
      </c>
      <c r="R13" s="175">
        <f t="shared" si="4"/>
        <v>2.2599999999999998</v>
      </c>
      <c r="S13" s="148">
        <f t="shared" si="5"/>
        <v>2.2799999999999998</v>
      </c>
      <c r="T13" s="44"/>
      <c r="U13" s="83"/>
      <c r="V13" s="64"/>
      <c r="W13" s="44">
        <v>5.5</v>
      </c>
      <c r="X13" s="175">
        <f>ROUND(($D13-W13)*W13*0.02491,2)</f>
        <v>2.97</v>
      </c>
      <c r="Y13" s="153">
        <f>ROUND(($D13-W13)*W13*0.02507,2)</f>
        <v>2.99</v>
      </c>
      <c r="AA13" s="5"/>
      <c r="AB13" s="90" t="s">
        <v>165</v>
      </c>
      <c r="AE13" s="7"/>
      <c r="AF13" s="7"/>
    </row>
    <row r="14" spans="1:32" ht="16" customHeight="1">
      <c r="A14" s="5"/>
      <c r="B14" s="13" t="s">
        <v>116</v>
      </c>
      <c r="C14" s="42" t="s">
        <v>117</v>
      </c>
      <c r="D14" s="144">
        <v>34</v>
      </c>
      <c r="E14" s="27">
        <v>1.65</v>
      </c>
      <c r="F14" s="175">
        <f t="shared" si="0"/>
        <v>1.33</v>
      </c>
      <c r="G14" s="176">
        <f t="shared" si="2"/>
        <v>1.3380000000000001</v>
      </c>
      <c r="H14" s="44">
        <v>2.8</v>
      </c>
      <c r="I14" s="175">
        <f t="shared" si="8"/>
        <v>2.1800000000000002</v>
      </c>
      <c r="J14" s="148">
        <f t="shared" si="9"/>
        <v>2.19</v>
      </c>
      <c r="K14" s="44">
        <v>3</v>
      </c>
      <c r="L14" s="175">
        <f t="shared" si="1"/>
        <v>2.3170000000000002</v>
      </c>
      <c r="M14" s="148">
        <f t="shared" si="3"/>
        <v>2.3319999999999999</v>
      </c>
      <c r="N14" s="44">
        <v>3.4</v>
      </c>
      <c r="O14" s="175">
        <f t="shared" si="6"/>
        <v>1.85</v>
      </c>
      <c r="P14" s="148">
        <f t="shared" si="7"/>
        <v>2.61</v>
      </c>
      <c r="Q14" s="44">
        <v>4.5</v>
      </c>
      <c r="R14" s="175">
        <f t="shared" si="4"/>
        <v>3.31</v>
      </c>
      <c r="S14" s="148">
        <f t="shared" si="5"/>
        <v>3.33</v>
      </c>
      <c r="T14" s="44"/>
      <c r="U14" s="83"/>
      <c r="V14" s="64"/>
      <c r="W14" s="44">
        <v>6.4</v>
      </c>
      <c r="X14" s="175">
        <f>ROUND(($D14-W14)*W14*0.02491,2)</f>
        <v>4.4000000000000004</v>
      </c>
      <c r="Y14" s="153">
        <f>ROUND(($D14-W14)*W14*0.02507,2)</f>
        <v>4.43</v>
      </c>
      <c r="AA14" s="5"/>
      <c r="AB14" s="90" t="s">
        <v>166</v>
      </c>
      <c r="AE14" s="7"/>
      <c r="AF14" s="7"/>
    </row>
    <row r="15" spans="1:32" ht="16" customHeight="1">
      <c r="A15" s="5"/>
      <c r="B15" s="13" t="s">
        <v>118</v>
      </c>
      <c r="C15" s="42" t="s">
        <v>119</v>
      </c>
      <c r="D15" s="144">
        <v>42.7</v>
      </c>
      <c r="E15" s="27">
        <v>1.65</v>
      </c>
      <c r="F15" s="175">
        <f t="shared" si="0"/>
        <v>1.6870000000000001</v>
      </c>
      <c r="G15" s="176">
        <f t="shared" si="2"/>
        <v>1.698</v>
      </c>
      <c r="H15" s="44">
        <v>2.8</v>
      </c>
      <c r="I15" s="175">
        <f t="shared" si="8"/>
        <v>2.78</v>
      </c>
      <c r="J15" s="148">
        <f t="shared" si="9"/>
        <v>2.8</v>
      </c>
      <c r="K15" s="44">
        <v>3</v>
      </c>
      <c r="L15" s="175">
        <f t="shared" si="1"/>
        <v>2.9670000000000001</v>
      </c>
      <c r="M15" s="148">
        <f t="shared" si="3"/>
        <v>2.9860000000000002</v>
      </c>
      <c r="N15" s="44">
        <v>3.6</v>
      </c>
      <c r="O15" s="175">
        <f t="shared" si="6"/>
        <v>2.97</v>
      </c>
      <c r="P15" s="148">
        <f t="shared" si="7"/>
        <v>3.53</v>
      </c>
      <c r="Q15" s="44">
        <v>4.9000000000000004</v>
      </c>
      <c r="R15" s="175">
        <f t="shared" si="4"/>
        <v>4.6100000000000003</v>
      </c>
      <c r="S15" s="148">
        <f t="shared" si="5"/>
        <v>4.6399999999999997</v>
      </c>
      <c r="T15" s="44"/>
      <c r="U15" s="83"/>
      <c r="V15" s="64"/>
      <c r="W15" s="44">
        <v>6.4</v>
      </c>
      <c r="X15" s="175">
        <f>ROUND(($D15-W15)*W15*0.02491,2)</f>
        <v>5.79</v>
      </c>
      <c r="Y15" s="153">
        <f>ROUND(($D15-W15)*W15*0.02507,2)</f>
        <v>5.82</v>
      </c>
      <c r="AA15" s="10"/>
      <c r="AB15" s="11"/>
      <c r="AC15" s="11"/>
      <c r="AD15" s="11"/>
      <c r="AE15" s="12"/>
      <c r="AF15" s="7"/>
    </row>
    <row r="16" spans="1:32" ht="16" customHeight="1">
      <c r="A16" s="5"/>
      <c r="B16" s="19" t="s">
        <v>120</v>
      </c>
      <c r="C16" s="49" t="s">
        <v>121</v>
      </c>
      <c r="D16" s="145">
        <v>48.6</v>
      </c>
      <c r="E16" s="21">
        <v>1.65</v>
      </c>
      <c r="F16" s="177">
        <f t="shared" si="0"/>
        <v>1.93</v>
      </c>
      <c r="G16" s="178">
        <f t="shared" si="2"/>
        <v>1.9419999999999999</v>
      </c>
      <c r="H16" s="52">
        <v>2.8</v>
      </c>
      <c r="I16" s="177">
        <f t="shared" si="8"/>
        <v>3.19</v>
      </c>
      <c r="J16" s="149">
        <f t="shared" si="9"/>
        <v>3.21</v>
      </c>
      <c r="K16" s="52">
        <v>3</v>
      </c>
      <c r="L16" s="177">
        <f t="shared" si="1"/>
        <v>3.4079999999999999</v>
      </c>
      <c r="M16" s="149">
        <f t="shared" si="3"/>
        <v>3.43</v>
      </c>
      <c r="N16" s="52">
        <v>3.7</v>
      </c>
      <c r="O16" s="177">
        <f t="shared" si="6"/>
        <v>3.88</v>
      </c>
      <c r="P16" s="149">
        <f t="shared" si="7"/>
        <v>4.16</v>
      </c>
      <c r="Q16" s="52">
        <v>5.0999999999999996</v>
      </c>
      <c r="R16" s="177">
        <f t="shared" si="4"/>
        <v>5.53</v>
      </c>
      <c r="S16" s="149">
        <f t="shared" si="5"/>
        <v>5.56</v>
      </c>
      <c r="T16" s="52"/>
      <c r="U16" s="80"/>
      <c r="V16" s="65"/>
      <c r="W16" s="52">
        <v>7.1</v>
      </c>
      <c r="X16" s="177">
        <f>ROUND(($D16-W16)*W16*0.02491,2)</f>
        <v>7.34</v>
      </c>
      <c r="Y16" s="154">
        <f>ROUND(($D16-W16)*W16*0.02507,2)</f>
        <v>7.39</v>
      </c>
      <c r="AA16" s="1"/>
      <c r="AB16" s="202" t="s">
        <v>171</v>
      </c>
      <c r="AC16" s="203"/>
      <c r="AD16" s="204"/>
      <c r="AE16" s="3"/>
      <c r="AF16" s="7"/>
    </row>
    <row r="17" spans="1:37" ht="16" customHeight="1">
      <c r="A17" s="5"/>
      <c r="B17" s="25" t="s">
        <v>122</v>
      </c>
      <c r="C17" s="55" t="s">
        <v>123</v>
      </c>
      <c r="D17" s="146">
        <v>60.5</v>
      </c>
      <c r="E17" s="27">
        <v>1.65</v>
      </c>
      <c r="F17" s="179">
        <f t="shared" si="0"/>
        <v>2.419</v>
      </c>
      <c r="G17" s="180">
        <f t="shared" si="2"/>
        <v>2.4340000000000002</v>
      </c>
      <c r="H17" s="58">
        <v>2.8</v>
      </c>
      <c r="I17" s="179">
        <f t="shared" si="8"/>
        <v>4.0199999999999996</v>
      </c>
      <c r="J17" s="150">
        <f t="shared" si="9"/>
        <v>4.05</v>
      </c>
      <c r="K17" s="58">
        <v>3.5</v>
      </c>
      <c r="L17" s="179">
        <f t="shared" si="1"/>
        <v>4.97</v>
      </c>
      <c r="M17" s="150">
        <f t="shared" si="3"/>
        <v>5.0010000000000003</v>
      </c>
      <c r="N17" s="58">
        <v>3.9</v>
      </c>
      <c r="O17" s="179">
        <f t="shared" si="6"/>
        <v>6.96</v>
      </c>
      <c r="P17" s="150">
        <f t="shared" si="7"/>
        <v>5.53</v>
      </c>
      <c r="Q17" s="58">
        <v>5.5</v>
      </c>
      <c r="R17" s="179">
        <f t="shared" si="4"/>
        <v>7.54</v>
      </c>
      <c r="S17" s="150">
        <f t="shared" si="5"/>
        <v>7.58</v>
      </c>
      <c r="T17" s="58"/>
      <c r="U17" s="81"/>
      <c r="V17" s="66"/>
      <c r="W17" s="58">
        <v>8.6999999999999993</v>
      </c>
      <c r="X17" s="185">
        <f>ROUND(($D17-W17)*W17*0.02491,1)</f>
        <v>11.2</v>
      </c>
      <c r="Y17" s="146">
        <f>ROUND(($D17-W17)*W17*0.02507,1)</f>
        <v>11.3</v>
      </c>
      <c r="AA17" s="5"/>
      <c r="AB17" s="205"/>
      <c r="AC17" s="206"/>
      <c r="AD17" s="207"/>
      <c r="AE17" s="7"/>
      <c r="AF17" s="7"/>
    </row>
    <row r="18" spans="1:37" ht="16" customHeight="1">
      <c r="A18" s="5"/>
      <c r="B18" s="13" t="s">
        <v>124</v>
      </c>
      <c r="C18" s="42" t="s">
        <v>125</v>
      </c>
      <c r="D18" s="144">
        <v>76.3</v>
      </c>
      <c r="E18" s="43">
        <v>2.1</v>
      </c>
      <c r="F18" s="175">
        <f t="shared" si="0"/>
        <v>3.8809999999999998</v>
      </c>
      <c r="G18" s="176">
        <f t="shared" si="2"/>
        <v>3.9060000000000001</v>
      </c>
      <c r="H18" s="44">
        <v>3</v>
      </c>
      <c r="I18" s="175">
        <f t="shared" si="8"/>
        <v>5.48</v>
      </c>
      <c r="J18" s="148">
        <f t="shared" si="9"/>
        <v>5.51</v>
      </c>
      <c r="K18" s="44">
        <v>3.5</v>
      </c>
      <c r="L18" s="175">
        <f t="shared" si="1"/>
        <v>6.3470000000000004</v>
      </c>
      <c r="M18" s="148">
        <f t="shared" si="3"/>
        <v>6.3879999999999999</v>
      </c>
      <c r="N18" s="44">
        <v>5.2</v>
      </c>
      <c r="O18" s="175">
        <f t="shared" si="6"/>
        <v>11.2</v>
      </c>
      <c r="P18" s="148">
        <f t="shared" si="7"/>
        <v>9.27</v>
      </c>
      <c r="Q18" s="44">
        <v>7</v>
      </c>
      <c r="R18" s="181">
        <f>ROUND(($D18-Q18)*Q18*0.02491,1)</f>
        <v>12.1</v>
      </c>
      <c r="S18" s="158">
        <f>ROUND(($D18-Q18)*Q18*0.02507,1)</f>
        <v>12.2</v>
      </c>
      <c r="T18" s="44"/>
      <c r="U18" s="83"/>
      <c r="V18" s="64"/>
      <c r="W18" s="44">
        <v>9.5</v>
      </c>
      <c r="X18" s="181">
        <f t="shared" ref="X18:X23" si="10">ROUND(($D18-W18)*W18*0.02491,1)</f>
        <v>15.8</v>
      </c>
      <c r="Y18" s="144">
        <f t="shared" ref="Y18:Y23" si="11">ROUND(($D18-W18)*W18*0.02507,1)</f>
        <v>15.9</v>
      </c>
      <c r="AA18" s="5"/>
      <c r="AB18" s="91"/>
      <c r="AC18" s="91"/>
      <c r="AD18" s="91"/>
      <c r="AE18" s="7"/>
      <c r="AF18" s="7"/>
    </row>
    <row r="19" spans="1:37" ht="16" customHeight="1">
      <c r="A19" s="5"/>
      <c r="B19" s="13" t="s">
        <v>126</v>
      </c>
      <c r="C19" s="42" t="s">
        <v>127</v>
      </c>
      <c r="D19" s="144">
        <v>89.1</v>
      </c>
      <c r="E19" s="43">
        <v>2.1</v>
      </c>
      <c r="F19" s="175">
        <f t="shared" si="0"/>
        <v>4.5510000000000002</v>
      </c>
      <c r="G19" s="176">
        <f t="shared" si="2"/>
        <v>4.58</v>
      </c>
      <c r="H19" s="44">
        <v>3</v>
      </c>
      <c r="I19" s="175">
        <f t="shared" si="8"/>
        <v>6.43</v>
      </c>
      <c r="J19" s="148">
        <f t="shared" si="9"/>
        <v>6.48</v>
      </c>
      <c r="K19" s="44">
        <v>4</v>
      </c>
      <c r="L19" s="175">
        <f t="shared" si="1"/>
        <v>8.4789999999999992</v>
      </c>
      <c r="M19" s="148">
        <f t="shared" si="3"/>
        <v>8.5340000000000007</v>
      </c>
      <c r="N19" s="44">
        <v>5.5</v>
      </c>
      <c r="O19" s="181">
        <f>ROUND(($D19-N19)*N19*0.02491,1)</f>
        <v>11.5</v>
      </c>
      <c r="P19" s="158">
        <f>ROUND(($D19-N19)*N19*0.02507,1)</f>
        <v>11.5</v>
      </c>
      <c r="Q19" s="44">
        <v>7.6</v>
      </c>
      <c r="R19" s="181">
        <f t="shared" ref="R19:R25" si="12">ROUND(($D19-Q19)*Q19*0.02491,1)</f>
        <v>15.4</v>
      </c>
      <c r="S19" s="158">
        <f t="shared" ref="S19:S25" si="13">ROUND(($D19-Q19)*Q19*0.02507,1)</f>
        <v>15.5</v>
      </c>
      <c r="T19" s="44"/>
      <c r="U19" s="83"/>
      <c r="V19" s="64"/>
      <c r="W19" s="44">
        <v>11.1</v>
      </c>
      <c r="X19" s="181">
        <f t="shared" si="10"/>
        <v>21.6</v>
      </c>
      <c r="Y19" s="144">
        <f t="shared" si="11"/>
        <v>21.7</v>
      </c>
      <c r="AA19" s="5"/>
      <c r="AB19" s="74" t="s">
        <v>99</v>
      </c>
      <c r="AC19" s="75"/>
      <c r="AD19" s="75"/>
      <c r="AE19" s="96"/>
      <c r="AF19" s="7"/>
    </row>
    <row r="20" spans="1:37" ht="16" customHeight="1">
      <c r="A20" s="5"/>
      <c r="B20" s="13" t="s">
        <v>128</v>
      </c>
      <c r="C20" s="42" t="s">
        <v>129</v>
      </c>
      <c r="D20" s="144">
        <v>101.6</v>
      </c>
      <c r="E20" s="43">
        <v>2.1</v>
      </c>
      <c r="F20" s="175">
        <f t="shared" si="0"/>
        <v>5.2050000000000001</v>
      </c>
      <c r="G20" s="176">
        <f t="shared" si="2"/>
        <v>5.2380000000000004</v>
      </c>
      <c r="H20" s="44">
        <v>3</v>
      </c>
      <c r="I20" s="175">
        <f t="shared" si="8"/>
        <v>7.37</v>
      </c>
      <c r="J20" s="148">
        <f t="shared" si="9"/>
        <v>7.42</v>
      </c>
      <c r="K20" s="44">
        <v>4</v>
      </c>
      <c r="L20" s="175">
        <v>9.7200000000000006</v>
      </c>
      <c r="M20" s="148">
        <f t="shared" si="3"/>
        <v>9.7870000000000008</v>
      </c>
      <c r="N20" s="44">
        <v>5.7</v>
      </c>
      <c r="O20" s="181">
        <f t="shared" ref="O20:O27" si="14">ROUND(($D20-N20)*N20*0.02491,1)</f>
        <v>13.6</v>
      </c>
      <c r="P20" s="158">
        <f t="shared" ref="P20:P27" si="15">ROUND(($D20-N20)*N20*0.02507,1)</f>
        <v>13.7</v>
      </c>
      <c r="Q20" s="44">
        <v>8.1</v>
      </c>
      <c r="R20" s="181">
        <f t="shared" si="12"/>
        <v>18.899999999999999</v>
      </c>
      <c r="S20" s="158">
        <f t="shared" si="13"/>
        <v>19</v>
      </c>
      <c r="T20" s="44"/>
      <c r="U20" s="82"/>
      <c r="V20" s="64"/>
      <c r="W20" s="44">
        <v>12.7</v>
      </c>
      <c r="X20" s="181">
        <f t="shared" si="10"/>
        <v>28.1</v>
      </c>
      <c r="Y20" s="144">
        <f t="shared" si="11"/>
        <v>28.3</v>
      </c>
      <c r="AA20" s="5"/>
      <c r="AB20" s="74" t="s">
        <v>100</v>
      </c>
      <c r="AC20" s="75"/>
      <c r="AD20" s="75"/>
      <c r="AE20" s="96"/>
      <c r="AF20" s="7"/>
    </row>
    <row r="21" spans="1:37" ht="16" customHeight="1">
      <c r="A21" s="5"/>
      <c r="B21" s="19" t="s">
        <v>130</v>
      </c>
      <c r="C21" s="49" t="s">
        <v>131</v>
      </c>
      <c r="D21" s="145">
        <v>114.3</v>
      </c>
      <c r="E21" s="50">
        <v>2.1</v>
      </c>
      <c r="F21" s="177">
        <f t="shared" si="0"/>
        <v>5.8689999999999998</v>
      </c>
      <c r="G21" s="178">
        <f t="shared" si="2"/>
        <v>5.907</v>
      </c>
      <c r="H21" s="52">
        <v>3</v>
      </c>
      <c r="I21" s="177">
        <f t="shared" si="8"/>
        <v>8.32</v>
      </c>
      <c r="J21" s="149">
        <f t="shared" si="9"/>
        <v>8.3699999999999992</v>
      </c>
      <c r="K21" s="52">
        <v>4</v>
      </c>
      <c r="L21" s="183">
        <f t="shared" ref="L21:L26" si="16">ROUND(($D21-K21)*K21*0.02491,3)</f>
        <v>10.99</v>
      </c>
      <c r="M21" s="159">
        <f t="shared" si="3"/>
        <v>11.061</v>
      </c>
      <c r="N21" s="52">
        <v>6</v>
      </c>
      <c r="O21" s="183">
        <f t="shared" si="14"/>
        <v>16.2</v>
      </c>
      <c r="P21" s="159">
        <f t="shared" si="15"/>
        <v>16.3</v>
      </c>
      <c r="Q21" s="52">
        <v>8.6</v>
      </c>
      <c r="R21" s="183">
        <f t="shared" si="12"/>
        <v>22.6</v>
      </c>
      <c r="S21" s="159">
        <f t="shared" si="13"/>
        <v>22.8</v>
      </c>
      <c r="T21" s="52">
        <v>11.1</v>
      </c>
      <c r="U21" s="183">
        <f>ROUND(($D21-T21)*T21*0.02491,1)</f>
        <v>28.5</v>
      </c>
      <c r="V21" s="159">
        <f>ROUND(($D21-T21)*T21*0.02507,1)</f>
        <v>28.7</v>
      </c>
      <c r="W21" s="52">
        <v>13.5</v>
      </c>
      <c r="X21" s="183">
        <f t="shared" si="10"/>
        <v>33.9</v>
      </c>
      <c r="Y21" s="145">
        <f t="shared" si="11"/>
        <v>34.1</v>
      </c>
      <c r="AA21" s="5"/>
      <c r="AB21" s="74" t="s">
        <v>95</v>
      </c>
      <c r="AC21" s="75"/>
      <c r="AD21" s="75"/>
      <c r="AE21" s="96"/>
      <c r="AF21" s="7"/>
    </row>
    <row r="22" spans="1:37" ht="16" customHeight="1">
      <c r="A22" s="5"/>
      <c r="B22" s="25" t="s">
        <v>132</v>
      </c>
      <c r="C22" s="55" t="s">
        <v>133</v>
      </c>
      <c r="D22" s="146">
        <v>139.80000000000001</v>
      </c>
      <c r="E22" s="56">
        <v>2.8</v>
      </c>
      <c r="F22" s="179">
        <f t="shared" si="0"/>
        <v>9.5549999999999997</v>
      </c>
      <c r="G22" s="180">
        <f t="shared" si="2"/>
        <v>9.6170000000000009</v>
      </c>
      <c r="H22" s="58">
        <v>3.4</v>
      </c>
      <c r="I22" s="185">
        <f>ROUND(($D22-H22)*H22*0.02491,3)</f>
        <v>11.552</v>
      </c>
      <c r="J22" s="160">
        <f>ROUND(($D22-H22)*H22*0.02507,3)</f>
        <v>11.625999999999999</v>
      </c>
      <c r="K22" s="58">
        <v>5</v>
      </c>
      <c r="L22" s="185">
        <f t="shared" si="16"/>
        <v>16.789000000000001</v>
      </c>
      <c r="M22" s="160">
        <f t="shared" si="3"/>
        <v>16.896999999999998</v>
      </c>
      <c r="N22" s="58">
        <v>6.6</v>
      </c>
      <c r="O22" s="185">
        <f t="shared" si="14"/>
        <v>21.9</v>
      </c>
      <c r="P22" s="160">
        <f t="shared" si="15"/>
        <v>22</v>
      </c>
      <c r="Q22" s="58">
        <v>9.5</v>
      </c>
      <c r="R22" s="185">
        <f t="shared" si="12"/>
        <v>30.8</v>
      </c>
      <c r="S22" s="160">
        <f t="shared" si="13"/>
        <v>31</v>
      </c>
      <c r="T22" s="58">
        <v>12.7</v>
      </c>
      <c r="U22" s="185">
        <f>ROUND(($D22-T22)*T22*0.02491,1)</f>
        <v>40.200000000000003</v>
      </c>
      <c r="V22" s="160">
        <f>ROUND(($D22-T22)*T22*0.02507,1)</f>
        <v>40.5</v>
      </c>
      <c r="W22" s="58">
        <v>15.9</v>
      </c>
      <c r="X22" s="185">
        <f t="shared" si="10"/>
        <v>49.1</v>
      </c>
      <c r="Y22" s="146">
        <f t="shared" si="11"/>
        <v>49.4</v>
      </c>
      <c r="AA22" s="5"/>
      <c r="AB22" s="74" t="s">
        <v>101</v>
      </c>
      <c r="AC22" s="75"/>
      <c r="AD22" s="75"/>
      <c r="AE22" s="96"/>
      <c r="AF22" s="7"/>
    </row>
    <row r="23" spans="1:37" ht="16" customHeight="1">
      <c r="A23" s="5"/>
      <c r="B23" s="13" t="s">
        <v>134</v>
      </c>
      <c r="C23" s="42" t="s">
        <v>135</v>
      </c>
      <c r="D23" s="144">
        <v>165.2</v>
      </c>
      <c r="E23" s="43">
        <v>2.8</v>
      </c>
      <c r="F23" s="181">
        <f t="shared" si="0"/>
        <v>11.327</v>
      </c>
      <c r="G23" s="182">
        <f t="shared" si="2"/>
        <v>11.4</v>
      </c>
      <c r="H23" s="44">
        <v>3.4</v>
      </c>
      <c r="I23" s="181">
        <f>ROUND(($D23-H23)*H23*0.02491,3)</f>
        <v>13.702999999999999</v>
      </c>
      <c r="J23" s="158">
        <f>ROUND(($D23-H23)*H23*0.02507,3)</f>
        <v>13.792</v>
      </c>
      <c r="K23" s="44">
        <v>5</v>
      </c>
      <c r="L23" s="181">
        <f t="shared" si="16"/>
        <v>19.952999999999999</v>
      </c>
      <c r="M23" s="158">
        <f t="shared" si="3"/>
        <v>20.081</v>
      </c>
      <c r="N23" s="44">
        <v>7.1</v>
      </c>
      <c r="O23" s="181">
        <f t="shared" si="14"/>
        <v>28</v>
      </c>
      <c r="P23" s="158">
        <f t="shared" si="15"/>
        <v>28.1</v>
      </c>
      <c r="Q23" s="44">
        <v>11</v>
      </c>
      <c r="R23" s="181">
        <f t="shared" si="12"/>
        <v>42.3</v>
      </c>
      <c r="S23" s="158">
        <f t="shared" si="13"/>
        <v>42.5</v>
      </c>
      <c r="T23" s="44">
        <v>14.3</v>
      </c>
      <c r="U23" s="181">
        <f>ROUND(($D23-T23)*T23*0.02491,1)</f>
        <v>53.8</v>
      </c>
      <c r="V23" s="158">
        <f>ROUND(($D23-T23)*T23*0.02507,1)</f>
        <v>54.1</v>
      </c>
      <c r="W23" s="44">
        <v>18.2</v>
      </c>
      <c r="X23" s="181">
        <f t="shared" si="10"/>
        <v>66.599999999999994</v>
      </c>
      <c r="Y23" s="144">
        <f t="shared" si="11"/>
        <v>67.099999999999994</v>
      </c>
      <c r="AA23" s="5"/>
      <c r="AB23" s="74" t="s">
        <v>96</v>
      </c>
      <c r="AC23" s="75"/>
      <c r="AD23" s="75"/>
      <c r="AE23" s="96"/>
      <c r="AF23" s="7"/>
    </row>
    <row r="24" spans="1:37" ht="16" customHeight="1">
      <c r="A24" s="5"/>
      <c r="B24" s="13" t="s">
        <v>136</v>
      </c>
      <c r="C24" s="42" t="s">
        <v>137</v>
      </c>
      <c r="D24" s="144">
        <v>216.3</v>
      </c>
      <c r="E24" s="43">
        <v>2.8</v>
      </c>
      <c r="F24" s="181">
        <f t="shared" si="0"/>
        <v>14.891</v>
      </c>
      <c r="G24" s="182">
        <f t="shared" si="2"/>
        <v>14.987</v>
      </c>
      <c r="H24" s="44">
        <v>4</v>
      </c>
      <c r="I24" s="181">
        <f>ROUND(($D24-H24)*H24*0.02491,3)</f>
        <v>21.154</v>
      </c>
      <c r="J24" s="158">
        <f>ROUND(($D24-H24)*H24*0.02507,3)</f>
        <v>21.289000000000001</v>
      </c>
      <c r="K24" s="44">
        <v>6.5</v>
      </c>
      <c r="L24" s="181">
        <f t="shared" si="16"/>
        <v>33.97</v>
      </c>
      <c r="M24" s="158">
        <f t="shared" si="3"/>
        <v>34.188000000000002</v>
      </c>
      <c r="N24" s="44">
        <v>8.1999999999999993</v>
      </c>
      <c r="O24" s="181">
        <f t="shared" si="14"/>
        <v>42.5</v>
      </c>
      <c r="P24" s="158">
        <f t="shared" si="15"/>
        <v>42.8</v>
      </c>
      <c r="Q24" s="44">
        <v>12.7</v>
      </c>
      <c r="R24" s="181">
        <f t="shared" si="12"/>
        <v>64.400000000000006</v>
      </c>
      <c r="S24" s="158">
        <f t="shared" si="13"/>
        <v>64.8</v>
      </c>
      <c r="T24" s="44">
        <v>18.2</v>
      </c>
      <c r="U24" s="181">
        <f>ROUND(($D24-T24)*T24*0.02491,1)</f>
        <v>89.8</v>
      </c>
      <c r="V24" s="158">
        <f>ROUND(($D24-T24)*T24*0.02507,1)</f>
        <v>90.4</v>
      </c>
      <c r="W24" s="44">
        <v>23</v>
      </c>
      <c r="X24" s="181">
        <f>ROUND(($D24-W24)*W24*0.02491,0)</f>
        <v>111</v>
      </c>
      <c r="Y24" s="144">
        <f>ROUND(($D24-W24)*W24*0.02507,0)</f>
        <v>111</v>
      </c>
      <c r="AA24" s="5"/>
      <c r="AB24" s="74" t="s">
        <v>102</v>
      </c>
      <c r="AC24" s="75"/>
      <c r="AD24" s="75"/>
      <c r="AE24" s="96"/>
      <c r="AF24" s="7"/>
    </row>
    <row r="25" spans="1:37" ht="16" customHeight="1">
      <c r="A25" s="5"/>
      <c r="B25" s="19" t="s">
        <v>138</v>
      </c>
      <c r="C25" s="49" t="s">
        <v>139</v>
      </c>
      <c r="D25" s="145">
        <v>267.39999999999998</v>
      </c>
      <c r="E25" s="50">
        <v>3.4</v>
      </c>
      <c r="F25" s="183">
        <f t="shared" si="0"/>
        <v>22.359000000000002</v>
      </c>
      <c r="G25" s="184">
        <f t="shared" si="2"/>
        <v>22.503</v>
      </c>
      <c r="H25" s="52">
        <v>4</v>
      </c>
      <c r="I25" s="183">
        <f>ROUND(($D25-H25)*H25*0.02491,3)</f>
        <v>26.245000000000001</v>
      </c>
      <c r="J25" s="159">
        <f>ROUND(($D25-H25)*H25*0.02507,3)</f>
        <v>26.414000000000001</v>
      </c>
      <c r="K25" s="52">
        <v>6.5</v>
      </c>
      <c r="L25" s="183">
        <f t="shared" si="16"/>
        <v>42.244</v>
      </c>
      <c r="M25" s="159">
        <f t="shared" si="3"/>
        <v>42.515000000000001</v>
      </c>
      <c r="N25" s="52">
        <v>9.3000000000000007</v>
      </c>
      <c r="O25" s="183">
        <f t="shared" si="14"/>
        <v>59.8</v>
      </c>
      <c r="P25" s="159">
        <f t="shared" si="15"/>
        <v>60.2</v>
      </c>
      <c r="Q25" s="52">
        <v>15.1</v>
      </c>
      <c r="R25" s="183">
        <f t="shared" si="12"/>
        <v>94.9</v>
      </c>
      <c r="S25" s="159">
        <f t="shared" si="13"/>
        <v>95.5</v>
      </c>
      <c r="T25" s="52">
        <v>21.4</v>
      </c>
      <c r="U25" s="183">
        <f>ROUND(($D25-T25)*T25*0.02491,0)</f>
        <v>131</v>
      </c>
      <c r="V25" s="159">
        <f>ROUND(($D25-T25)*T25*0.02507,0)</f>
        <v>132</v>
      </c>
      <c r="W25" s="52">
        <v>28.6</v>
      </c>
      <c r="X25" s="183">
        <f>ROUND(($D25-W25)*W25*0.02491,0)</f>
        <v>170</v>
      </c>
      <c r="Y25" s="145">
        <f>ROUND(($D25-W25)*W25*0.02507,0)</f>
        <v>171</v>
      </c>
      <c r="Z25" s="9"/>
      <c r="AA25" s="97"/>
      <c r="AB25" s="74"/>
      <c r="AE25" s="7"/>
      <c r="AF25" s="7"/>
    </row>
    <row r="26" spans="1:37" ht="16" customHeight="1">
      <c r="A26" s="5"/>
      <c r="B26" s="25" t="s">
        <v>140</v>
      </c>
      <c r="C26" s="55" t="s">
        <v>141</v>
      </c>
      <c r="D26" s="146">
        <v>318.5</v>
      </c>
      <c r="E26" s="56">
        <v>4</v>
      </c>
      <c r="F26" s="185">
        <f t="shared" si="0"/>
        <v>31.337</v>
      </c>
      <c r="G26" s="186">
        <f t="shared" si="2"/>
        <v>31.538</v>
      </c>
      <c r="H26" s="58">
        <v>4.5</v>
      </c>
      <c r="I26" s="185">
        <f>ROUND(($D26-H26)*H26*0.02491,3)</f>
        <v>35.198</v>
      </c>
      <c r="J26" s="160">
        <f>ROUND(($D26-H26)*H26*0.02507,3)</f>
        <v>35.423999999999999</v>
      </c>
      <c r="K26" s="58">
        <v>6.5</v>
      </c>
      <c r="L26" s="185">
        <f t="shared" si="16"/>
        <v>50.517000000000003</v>
      </c>
      <c r="M26" s="160">
        <f t="shared" si="3"/>
        <v>50.841999999999999</v>
      </c>
      <c r="N26" s="58">
        <v>10.3</v>
      </c>
      <c r="O26" s="185">
        <f t="shared" si="14"/>
        <v>79.099999999999994</v>
      </c>
      <c r="P26" s="160">
        <f t="shared" si="15"/>
        <v>79.599999999999994</v>
      </c>
      <c r="Q26" s="58">
        <v>17.399999999999999</v>
      </c>
      <c r="R26" s="185">
        <f>ROUND(($D26-Q26)*Q26*0.02491,0)</f>
        <v>131</v>
      </c>
      <c r="S26" s="160">
        <f>ROUND(($D26-Q26)*Q26*0.02507,0)</f>
        <v>131</v>
      </c>
      <c r="T26" s="58">
        <v>25.4</v>
      </c>
      <c r="U26" s="185">
        <f>ROUND(($D26-T26)*T26*0.02491,0)</f>
        <v>185</v>
      </c>
      <c r="V26" s="160">
        <f>ROUND(($D26-T26)*T26*0.02507,0)</f>
        <v>187</v>
      </c>
      <c r="W26" s="58">
        <v>33.299999999999997</v>
      </c>
      <c r="X26" s="185">
        <f>ROUND(($D26-W26)*W26*0.02491,0)</f>
        <v>237</v>
      </c>
      <c r="Y26" s="146">
        <f>ROUND(($D26-W26)*W26*0.02507,0)</f>
        <v>238</v>
      </c>
      <c r="Z26" s="86"/>
      <c r="AA26" s="98"/>
      <c r="AB26" s="74" t="s">
        <v>97</v>
      </c>
      <c r="AC26" s="75"/>
      <c r="AD26" s="75"/>
      <c r="AE26" s="96"/>
      <c r="AF26" s="7"/>
    </row>
    <row r="27" spans="1:37" ht="16" customHeight="1">
      <c r="A27" s="5"/>
      <c r="B27" s="13" t="s">
        <v>167</v>
      </c>
      <c r="C27" s="42" t="s">
        <v>169</v>
      </c>
      <c r="D27" s="144">
        <v>355.6</v>
      </c>
      <c r="E27" s="43"/>
      <c r="F27" s="82"/>
      <c r="G27" s="85"/>
      <c r="H27" s="44"/>
      <c r="I27" s="82"/>
      <c r="J27" s="64"/>
      <c r="K27" s="44"/>
      <c r="L27" s="82"/>
      <c r="M27" s="64"/>
      <c r="N27" s="44">
        <v>11.1</v>
      </c>
      <c r="O27" s="181">
        <f t="shared" si="14"/>
        <v>95.3</v>
      </c>
      <c r="P27" s="158">
        <f t="shared" si="15"/>
        <v>95.9</v>
      </c>
      <c r="Q27" s="44">
        <v>19</v>
      </c>
      <c r="R27" s="181">
        <f>ROUND(($D27-Q27)*Q27*0.02491,0)</f>
        <v>159</v>
      </c>
      <c r="S27" s="158">
        <f>ROUND(($D27-Q27)*Q27*0.02507,0)</f>
        <v>160</v>
      </c>
      <c r="T27" s="44">
        <v>27.8</v>
      </c>
      <c r="U27" s="181">
        <f>ROUND(($D27-T27)*T27*0.02491,0)</f>
        <v>227</v>
      </c>
      <c r="V27" s="158">
        <f>ROUND(($D27-T27)*T27*0.02507,0)</f>
        <v>228</v>
      </c>
      <c r="W27" s="44">
        <v>35.700000000000003</v>
      </c>
      <c r="X27" s="181">
        <f>ROUND(($D27-W27)*W27*0.02491,0)</f>
        <v>284</v>
      </c>
      <c r="Y27" s="144">
        <f>ROUND(($D27-W27)*W27*0.02507,0)</f>
        <v>286</v>
      </c>
      <c r="Z27" s="86"/>
      <c r="AA27" s="98"/>
      <c r="AB27" s="74" t="s">
        <v>98</v>
      </c>
      <c r="AC27" s="75"/>
      <c r="AD27" s="75"/>
      <c r="AE27" s="96"/>
      <c r="AF27" s="7"/>
    </row>
    <row r="28" spans="1:37" ht="16" customHeight="1" thickBot="1">
      <c r="A28" s="5"/>
      <c r="B28" s="31" t="s">
        <v>168</v>
      </c>
      <c r="C28" s="67" t="s">
        <v>170</v>
      </c>
      <c r="D28" s="147">
        <v>406.4</v>
      </c>
      <c r="E28" s="68"/>
      <c r="F28" s="92"/>
      <c r="G28" s="93"/>
      <c r="H28" s="71"/>
      <c r="I28" s="92"/>
      <c r="J28" s="69"/>
      <c r="K28" s="71"/>
      <c r="L28" s="92"/>
      <c r="M28" s="69"/>
      <c r="N28" s="71">
        <v>12.7</v>
      </c>
      <c r="O28" s="188">
        <f>ROUND(($D28-N28)*N28*0.02491,0)</f>
        <v>125</v>
      </c>
      <c r="P28" s="161">
        <f>ROUND(($D28-N28)*N28*0.02507,0)</f>
        <v>125</v>
      </c>
      <c r="Q28" s="71">
        <v>21.4</v>
      </c>
      <c r="R28" s="188">
        <f>ROUND(($D28-Q28)*Q28*0.02491,0)</f>
        <v>205</v>
      </c>
      <c r="S28" s="161">
        <f>ROUND(($D28-Q28)*Q28*0.02507,0)</f>
        <v>207</v>
      </c>
      <c r="T28" s="71">
        <v>30.9</v>
      </c>
      <c r="U28" s="188">
        <f>ROUND(($D28-T28)*T28*0.02491,0)</f>
        <v>289</v>
      </c>
      <c r="V28" s="161">
        <f>ROUND(($D28-T28)*T28*0.02507,0)</f>
        <v>291</v>
      </c>
      <c r="W28" s="71">
        <v>40.5</v>
      </c>
      <c r="X28" s="188">
        <f>ROUND(($D28-W28)*W28*0.02491,0)</f>
        <v>369</v>
      </c>
      <c r="Y28" s="147">
        <f>ROUND(($D28-W28)*W28*0.02507,0)</f>
        <v>372</v>
      </c>
      <c r="Z28" s="86"/>
      <c r="AA28" s="99"/>
      <c r="AB28" s="100"/>
      <c r="AC28" s="101"/>
      <c r="AD28" s="101"/>
      <c r="AE28" s="102"/>
      <c r="AF28" s="7"/>
    </row>
    <row r="29" spans="1:37" ht="3.75" customHeight="1">
      <c r="A29" s="5"/>
      <c r="AF29" s="7"/>
    </row>
    <row r="30" spans="1:37" ht="16" customHeight="1" thickBot="1">
      <c r="A30" s="5"/>
      <c r="B30" s="103" t="s">
        <v>172</v>
      </c>
      <c r="N30" s="103" t="s">
        <v>245</v>
      </c>
      <c r="AF30" s="7"/>
    </row>
    <row r="31" spans="1:37" ht="16" customHeight="1" thickBot="1">
      <c r="A31" s="5"/>
      <c r="B31" s="141" t="s">
        <v>103</v>
      </c>
      <c r="C31" s="142" t="s">
        <v>104</v>
      </c>
      <c r="D31" s="143" t="s">
        <v>105</v>
      </c>
      <c r="E31" s="192" t="s">
        <v>143</v>
      </c>
      <c r="F31" s="191"/>
      <c r="G31" s="191" t="s">
        <v>144</v>
      </c>
      <c r="H31" s="191"/>
      <c r="I31" s="191" t="s">
        <v>145</v>
      </c>
      <c r="J31" s="191"/>
      <c r="K31" s="191" t="s">
        <v>146</v>
      </c>
      <c r="L31" s="196"/>
      <c r="M31" s="105"/>
      <c r="N31" s="231" t="s">
        <v>233</v>
      </c>
      <c r="O31" s="232"/>
      <c r="P31" s="232"/>
      <c r="Q31" s="238" t="s">
        <v>237</v>
      </c>
      <c r="R31" s="238"/>
      <c r="S31" s="238"/>
      <c r="T31" s="238"/>
      <c r="U31" s="238"/>
      <c r="V31" s="238"/>
      <c r="W31" s="238"/>
      <c r="X31" s="238"/>
      <c r="Y31" s="232" t="s">
        <v>238</v>
      </c>
      <c r="Z31" s="232"/>
      <c r="AA31" s="232"/>
      <c r="AB31" s="232"/>
      <c r="AC31" s="232"/>
      <c r="AD31" s="232"/>
      <c r="AE31" s="239"/>
      <c r="AF31" s="107"/>
    </row>
    <row r="32" spans="1:37" ht="16" customHeight="1" thickBot="1">
      <c r="A32" s="5"/>
      <c r="B32" s="13" t="s">
        <v>8</v>
      </c>
      <c r="C32" s="14">
        <v>6</v>
      </c>
      <c r="D32" s="153">
        <v>10.29</v>
      </c>
      <c r="E32" s="15"/>
      <c r="F32" s="16"/>
      <c r="G32" s="17">
        <v>1.24</v>
      </c>
      <c r="H32" s="148">
        <f t="shared" ref="H32:H51" si="17">ROUND(($D32-G32)*G32*0.02507,2)</f>
        <v>0.28000000000000003</v>
      </c>
      <c r="I32" s="17">
        <v>1.73</v>
      </c>
      <c r="J32" s="148">
        <f t="shared" ref="J32:J49" si="18">ROUND(($D32-I32)*I32*0.02507,2)</f>
        <v>0.37</v>
      </c>
      <c r="K32" s="17">
        <v>2.41</v>
      </c>
      <c r="L32" s="153">
        <f t="shared" ref="L32:L49" si="19">ROUND(($D32-K32)*K32*0.02507,2)</f>
        <v>0.48</v>
      </c>
      <c r="M32" s="77"/>
      <c r="N32" s="233"/>
      <c r="O32" s="234"/>
      <c r="P32" s="234"/>
      <c r="Q32" s="237" t="s">
        <v>234</v>
      </c>
      <c r="R32" s="237"/>
      <c r="S32" s="237"/>
      <c r="T32" s="237"/>
      <c r="U32" s="237" t="s">
        <v>235</v>
      </c>
      <c r="V32" s="237"/>
      <c r="W32" s="237" t="s">
        <v>236</v>
      </c>
      <c r="X32" s="237"/>
      <c r="Y32" s="234"/>
      <c r="Z32" s="234"/>
      <c r="AA32" s="234"/>
      <c r="AB32" s="234"/>
      <c r="AC32" s="234"/>
      <c r="AD32" s="234"/>
      <c r="AE32" s="240"/>
      <c r="AF32" s="107"/>
      <c r="AI32" s="91"/>
      <c r="AJ32" s="91"/>
      <c r="AK32" s="91"/>
    </row>
    <row r="33" spans="1:37" ht="16" customHeight="1">
      <c r="A33" s="5"/>
      <c r="B33" s="13" t="s">
        <v>9</v>
      </c>
      <c r="C33" s="14">
        <v>8</v>
      </c>
      <c r="D33" s="153">
        <v>13.72</v>
      </c>
      <c r="E33" s="15"/>
      <c r="F33" s="16"/>
      <c r="G33" s="17">
        <v>1.65</v>
      </c>
      <c r="H33" s="148">
        <f t="shared" si="17"/>
        <v>0.5</v>
      </c>
      <c r="I33" s="17">
        <v>2.2400000000000002</v>
      </c>
      <c r="J33" s="148">
        <f t="shared" si="18"/>
        <v>0.64</v>
      </c>
      <c r="K33" s="17">
        <v>3.02</v>
      </c>
      <c r="L33" s="153">
        <f t="shared" si="19"/>
        <v>0.81</v>
      </c>
      <c r="M33" s="77"/>
      <c r="N33" s="127" t="s">
        <v>174</v>
      </c>
      <c r="O33" s="128"/>
      <c r="P33" s="129"/>
      <c r="Q33" s="130" t="s">
        <v>180</v>
      </c>
      <c r="R33" s="128"/>
      <c r="S33" s="128" t="s">
        <v>186</v>
      </c>
      <c r="T33" s="129"/>
      <c r="U33" s="130" t="s">
        <v>90</v>
      </c>
      <c r="V33" s="129"/>
      <c r="W33" s="130" t="s">
        <v>217</v>
      </c>
      <c r="X33" s="129"/>
      <c r="Y33" s="130"/>
      <c r="Z33" s="128"/>
      <c r="AA33" s="128"/>
      <c r="AB33" s="128"/>
      <c r="AC33" s="128"/>
      <c r="AD33" s="128"/>
      <c r="AE33" s="131"/>
      <c r="AF33" s="107"/>
      <c r="AI33" s="91"/>
      <c r="AJ33" s="91"/>
      <c r="AK33" s="91"/>
    </row>
    <row r="34" spans="1:37" ht="16" customHeight="1">
      <c r="A34" s="5"/>
      <c r="B34" s="19" t="s">
        <v>106</v>
      </c>
      <c r="C34" s="20">
        <v>10</v>
      </c>
      <c r="D34" s="154">
        <v>17.149999999999999</v>
      </c>
      <c r="E34" s="21"/>
      <c r="F34" s="22"/>
      <c r="G34" s="23">
        <v>1.65</v>
      </c>
      <c r="H34" s="149">
        <f t="shared" si="17"/>
        <v>0.64</v>
      </c>
      <c r="I34" s="23">
        <v>2.31</v>
      </c>
      <c r="J34" s="149">
        <f t="shared" si="18"/>
        <v>0.86</v>
      </c>
      <c r="K34" s="23">
        <v>3.2</v>
      </c>
      <c r="L34" s="154">
        <f t="shared" si="19"/>
        <v>1.1200000000000001</v>
      </c>
      <c r="M34" s="77"/>
      <c r="N34" s="108" t="s">
        <v>175</v>
      </c>
      <c r="O34" s="106"/>
      <c r="P34" s="109"/>
      <c r="Q34" s="119" t="s">
        <v>181</v>
      </c>
      <c r="R34" s="106"/>
      <c r="S34" s="123" t="s">
        <v>187</v>
      </c>
      <c r="T34" s="124"/>
      <c r="U34" s="125" t="s">
        <v>205</v>
      </c>
      <c r="V34" s="124"/>
      <c r="W34" s="125" t="s">
        <v>218</v>
      </c>
      <c r="X34" s="124"/>
      <c r="Y34" s="125" t="s">
        <v>239</v>
      </c>
      <c r="Z34" s="123"/>
      <c r="AA34" s="123"/>
      <c r="AB34" s="123"/>
      <c r="AC34" s="123"/>
      <c r="AD34" s="123"/>
      <c r="AE34" s="126"/>
      <c r="AF34" s="107"/>
    </row>
    <row r="35" spans="1:37" ht="16" customHeight="1">
      <c r="A35" s="5"/>
      <c r="B35" s="25" t="s">
        <v>10</v>
      </c>
      <c r="C35" s="26">
        <v>15</v>
      </c>
      <c r="D35" s="152">
        <v>21.34</v>
      </c>
      <c r="E35" s="27">
        <v>1.65</v>
      </c>
      <c r="F35" s="150">
        <f>ROUND(($D35-E35)*E35*0.02507,2)</f>
        <v>0.81</v>
      </c>
      <c r="G35" s="29">
        <v>2.11</v>
      </c>
      <c r="H35" s="150">
        <f t="shared" si="17"/>
        <v>1.02</v>
      </c>
      <c r="I35" s="29">
        <v>2.77</v>
      </c>
      <c r="J35" s="150">
        <f t="shared" si="18"/>
        <v>1.29</v>
      </c>
      <c r="K35" s="29">
        <v>3.73</v>
      </c>
      <c r="L35" s="152">
        <f t="shared" si="19"/>
        <v>1.65</v>
      </c>
      <c r="M35" s="77"/>
      <c r="N35" s="132"/>
      <c r="O35" s="133"/>
      <c r="P35" s="134"/>
      <c r="Q35" s="135"/>
      <c r="R35" s="133"/>
      <c r="S35" s="136" t="s">
        <v>188</v>
      </c>
      <c r="T35" s="137"/>
      <c r="U35" s="138" t="s">
        <v>206</v>
      </c>
      <c r="V35" s="137"/>
      <c r="W35" s="138" t="s">
        <v>219</v>
      </c>
      <c r="X35" s="137"/>
      <c r="Y35" s="138" t="s">
        <v>240</v>
      </c>
      <c r="Z35" s="136"/>
      <c r="AA35" s="136"/>
      <c r="AB35" s="136"/>
      <c r="AC35" s="136"/>
      <c r="AD35" s="136"/>
      <c r="AE35" s="139"/>
      <c r="AF35" s="107"/>
      <c r="AI35" s="90"/>
    </row>
    <row r="36" spans="1:37" ht="16" customHeight="1">
      <c r="A36" s="5"/>
      <c r="B36" s="13" t="s">
        <v>11</v>
      </c>
      <c r="C36" s="14">
        <v>20</v>
      </c>
      <c r="D36" s="153">
        <v>26.27</v>
      </c>
      <c r="E36" s="15">
        <v>1.65</v>
      </c>
      <c r="F36" s="148">
        <f t="shared" ref="F36:F51" si="20">ROUND(($D36-E36)*E36*0.02507,2)</f>
        <v>1.02</v>
      </c>
      <c r="G36" s="17">
        <v>2.11</v>
      </c>
      <c r="H36" s="148">
        <f t="shared" si="17"/>
        <v>1.28</v>
      </c>
      <c r="I36" s="17">
        <v>2.87</v>
      </c>
      <c r="J36" s="148">
        <f t="shared" si="18"/>
        <v>1.68</v>
      </c>
      <c r="K36" s="17">
        <v>3.91</v>
      </c>
      <c r="L36" s="153">
        <f t="shared" si="19"/>
        <v>2.19</v>
      </c>
      <c r="M36" s="77"/>
      <c r="N36" s="108" t="s">
        <v>176</v>
      </c>
      <c r="O36" s="106"/>
      <c r="P36" s="109"/>
      <c r="Q36" s="119" t="s">
        <v>182</v>
      </c>
      <c r="R36" s="106"/>
      <c r="S36" s="123" t="s">
        <v>189</v>
      </c>
      <c r="T36" s="124"/>
      <c r="U36" s="125" t="s">
        <v>91</v>
      </c>
      <c r="V36" s="124"/>
      <c r="W36" s="125" t="s">
        <v>220</v>
      </c>
      <c r="X36" s="124"/>
      <c r="Y36" s="125" t="s">
        <v>241</v>
      </c>
      <c r="Z36" s="123"/>
      <c r="AA36" s="123"/>
      <c r="AB36" s="123"/>
      <c r="AC36" s="123"/>
      <c r="AD36" s="123"/>
      <c r="AE36" s="126"/>
      <c r="AF36" s="107"/>
      <c r="AI36" s="90"/>
    </row>
    <row r="37" spans="1:37" ht="16" customHeight="1">
      <c r="A37" s="5"/>
      <c r="B37" s="13" t="s">
        <v>12</v>
      </c>
      <c r="C37" s="14">
        <v>25</v>
      </c>
      <c r="D37" s="153">
        <v>33.4</v>
      </c>
      <c r="E37" s="15">
        <v>1.65</v>
      </c>
      <c r="F37" s="148">
        <f t="shared" si="20"/>
        <v>1.31</v>
      </c>
      <c r="G37" s="17">
        <v>2.77</v>
      </c>
      <c r="H37" s="148">
        <f t="shared" si="17"/>
        <v>2.13</v>
      </c>
      <c r="I37" s="17">
        <v>3.38</v>
      </c>
      <c r="J37" s="148">
        <f t="shared" si="18"/>
        <v>2.54</v>
      </c>
      <c r="K37" s="17">
        <v>4.55</v>
      </c>
      <c r="L37" s="153">
        <f t="shared" si="19"/>
        <v>3.29</v>
      </c>
      <c r="M37" s="77"/>
      <c r="N37" s="108"/>
      <c r="O37" s="106"/>
      <c r="P37" s="109"/>
      <c r="Q37" s="119"/>
      <c r="R37" s="106"/>
      <c r="S37" s="114" t="s">
        <v>190</v>
      </c>
      <c r="T37" s="115"/>
      <c r="U37" s="113" t="s">
        <v>92</v>
      </c>
      <c r="V37" s="115"/>
      <c r="W37" s="113" t="s">
        <v>221</v>
      </c>
      <c r="X37" s="115"/>
      <c r="Y37" s="113" t="s">
        <v>240</v>
      </c>
      <c r="Z37" s="114"/>
      <c r="AA37" s="114"/>
      <c r="AB37" s="114"/>
      <c r="AC37" s="114"/>
      <c r="AD37" s="114"/>
      <c r="AE37" s="121"/>
      <c r="AF37" s="107"/>
      <c r="AI37" s="90"/>
    </row>
    <row r="38" spans="1:37" ht="16" customHeight="1">
      <c r="A38" s="5"/>
      <c r="B38" s="13" t="s">
        <v>13</v>
      </c>
      <c r="C38" s="14">
        <v>32</v>
      </c>
      <c r="D38" s="153">
        <v>42.16</v>
      </c>
      <c r="E38" s="15">
        <v>1.65</v>
      </c>
      <c r="F38" s="148">
        <f t="shared" si="20"/>
        <v>1.68</v>
      </c>
      <c r="G38" s="17">
        <v>2.77</v>
      </c>
      <c r="H38" s="148">
        <f t="shared" si="17"/>
        <v>2.74</v>
      </c>
      <c r="I38" s="17">
        <v>3.56</v>
      </c>
      <c r="J38" s="148">
        <f t="shared" si="18"/>
        <v>3.45</v>
      </c>
      <c r="K38" s="17">
        <v>4.8499999999999996</v>
      </c>
      <c r="L38" s="153">
        <f t="shared" si="19"/>
        <v>4.54</v>
      </c>
      <c r="M38" s="77"/>
      <c r="N38" s="132"/>
      <c r="O38" s="133"/>
      <c r="P38" s="134"/>
      <c r="Q38" s="135"/>
      <c r="R38" s="133"/>
      <c r="S38" s="136" t="s">
        <v>191</v>
      </c>
      <c r="T38" s="137"/>
      <c r="U38" s="138" t="s">
        <v>93</v>
      </c>
      <c r="V38" s="137"/>
      <c r="W38" s="138" t="s">
        <v>222</v>
      </c>
      <c r="X38" s="137"/>
      <c r="Y38" s="138"/>
      <c r="Z38" s="136"/>
      <c r="AA38" s="136"/>
      <c r="AB38" s="136"/>
      <c r="AC38" s="136"/>
      <c r="AD38" s="136"/>
      <c r="AE38" s="139"/>
      <c r="AF38" s="107"/>
      <c r="AI38" s="90"/>
    </row>
    <row r="39" spans="1:37" ht="16" customHeight="1">
      <c r="A39" s="5"/>
      <c r="B39" s="19" t="s">
        <v>14</v>
      </c>
      <c r="C39" s="20">
        <v>40</v>
      </c>
      <c r="D39" s="154">
        <v>48.26</v>
      </c>
      <c r="E39" s="21">
        <v>1.65</v>
      </c>
      <c r="F39" s="149">
        <f t="shared" si="20"/>
        <v>1.93</v>
      </c>
      <c r="G39" s="23">
        <v>2.77</v>
      </c>
      <c r="H39" s="149">
        <f t="shared" si="17"/>
        <v>3.16</v>
      </c>
      <c r="I39" s="23">
        <v>3.68</v>
      </c>
      <c r="J39" s="149">
        <f t="shared" si="18"/>
        <v>4.1100000000000003</v>
      </c>
      <c r="K39" s="23">
        <v>5.08</v>
      </c>
      <c r="L39" s="154">
        <f t="shared" si="19"/>
        <v>5.5</v>
      </c>
      <c r="M39" s="77"/>
      <c r="N39" s="108" t="s">
        <v>177</v>
      </c>
      <c r="O39" s="106"/>
      <c r="P39" s="109"/>
      <c r="Q39" s="119" t="s">
        <v>183</v>
      </c>
      <c r="R39" s="106"/>
      <c r="S39" s="123" t="s">
        <v>192</v>
      </c>
      <c r="T39" s="124"/>
      <c r="U39" s="125" t="s">
        <v>91</v>
      </c>
      <c r="V39" s="124"/>
      <c r="W39" s="125"/>
      <c r="X39" s="124"/>
      <c r="Y39" s="125" t="s">
        <v>242</v>
      </c>
      <c r="Z39" s="123"/>
      <c r="AA39" s="123"/>
      <c r="AB39" s="123"/>
      <c r="AC39" s="123"/>
      <c r="AD39" s="123"/>
      <c r="AE39" s="126"/>
      <c r="AF39" s="107"/>
      <c r="AI39" s="90"/>
    </row>
    <row r="40" spans="1:37" ht="16" customHeight="1">
      <c r="A40" s="5"/>
      <c r="B40" s="25" t="s">
        <v>15</v>
      </c>
      <c r="C40" s="26">
        <v>50</v>
      </c>
      <c r="D40" s="152">
        <v>60.33</v>
      </c>
      <c r="E40" s="27">
        <v>1.65</v>
      </c>
      <c r="F40" s="150">
        <f t="shared" si="20"/>
        <v>2.4300000000000002</v>
      </c>
      <c r="G40" s="29">
        <v>2.77</v>
      </c>
      <c r="H40" s="150">
        <f t="shared" si="17"/>
        <v>4</v>
      </c>
      <c r="I40" s="29">
        <v>3.91</v>
      </c>
      <c r="J40" s="150">
        <f t="shared" si="18"/>
        <v>5.53</v>
      </c>
      <c r="K40" s="29">
        <v>5.54</v>
      </c>
      <c r="L40" s="152">
        <f t="shared" si="19"/>
        <v>7.61</v>
      </c>
      <c r="M40" s="77"/>
      <c r="N40" s="108"/>
      <c r="O40" s="106"/>
      <c r="P40" s="109"/>
      <c r="Q40" s="119"/>
      <c r="R40" s="106"/>
      <c r="S40" s="114" t="s">
        <v>193</v>
      </c>
      <c r="T40" s="115"/>
      <c r="U40" s="113" t="s">
        <v>92</v>
      </c>
      <c r="V40" s="115"/>
      <c r="W40" s="113"/>
      <c r="X40" s="115"/>
      <c r="Y40" s="113" t="s">
        <v>240</v>
      </c>
      <c r="Z40" s="114"/>
      <c r="AA40" s="114"/>
      <c r="AB40" s="114"/>
      <c r="AC40" s="114"/>
      <c r="AD40" s="114"/>
      <c r="AE40" s="121"/>
      <c r="AF40" s="107"/>
      <c r="AI40" s="90"/>
    </row>
    <row r="41" spans="1:37" ht="16" customHeight="1">
      <c r="A41" s="5"/>
      <c r="B41" s="13" t="s">
        <v>16</v>
      </c>
      <c r="C41" s="14">
        <v>65</v>
      </c>
      <c r="D41" s="153">
        <v>73.03</v>
      </c>
      <c r="E41" s="15">
        <v>2.11</v>
      </c>
      <c r="F41" s="148">
        <f t="shared" si="20"/>
        <v>3.75</v>
      </c>
      <c r="G41" s="17">
        <v>3.05</v>
      </c>
      <c r="H41" s="148">
        <f t="shared" si="17"/>
        <v>5.35</v>
      </c>
      <c r="I41" s="17">
        <v>5.16</v>
      </c>
      <c r="J41" s="148">
        <f t="shared" si="18"/>
        <v>8.7799999999999994</v>
      </c>
      <c r="K41" s="17">
        <v>7.01</v>
      </c>
      <c r="L41" s="153">
        <f t="shared" si="19"/>
        <v>11.6</v>
      </c>
      <c r="M41" s="77"/>
      <c r="N41" s="132"/>
      <c r="O41" s="133"/>
      <c r="P41" s="134"/>
      <c r="Q41" s="135"/>
      <c r="R41" s="133"/>
      <c r="S41" s="136" t="s">
        <v>194</v>
      </c>
      <c r="T41" s="137"/>
      <c r="U41" s="138" t="s">
        <v>93</v>
      </c>
      <c r="V41" s="137"/>
      <c r="W41" s="138"/>
      <c r="X41" s="137"/>
      <c r="Y41" s="138"/>
      <c r="Z41" s="136"/>
      <c r="AA41" s="136"/>
      <c r="AB41" s="136"/>
      <c r="AC41" s="136"/>
      <c r="AD41" s="136"/>
      <c r="AE41" s="139"/>
      <c r="AF41" s="107"/>
    </row>
    <row r="42" spans="1:37" ht="16" customHeight="1">
      <c r="A42" s="5"/>
      <c r="B42" s="13" t="s">
        <v>17</v>
      </c>
      <c r="C42" s="14">
        <v>80</v>
      </c>
      <c r="D42" s="153">
        <v>88.9</v>
      </c>
      <c r="E42" s="15">
        <v>2.11</v>
      </c>
      <c r="F42" s="148">
        <f t="shared" si="20"/>
        <v>4.59</v>
      </c>
      <c r="G42" s="17">
        <v>3.05</v>
      </c>
      <c r="H42" s="148">
        <f t="shared" si="17"/>
        <v>6.56</v>
      </c>
      <c r="I42" s="17">
        <v>5.49</v>
      </c>
      <c r="J42" s="148">
        <f t="shared" si="18"/>
        <v>11.48</v>
      </c>
      <c r="K42" s="17">
        <v>7.62</v>
      </c>
      <c r="L42" s="153">
        <f t="shared" si="19"/>
        <v>15.53</v>
      </c>
      <c r="M42" s="77"/>
      <c r="N42" s="108" t="s">
        <v>178</v>
      </c>
      <c r="O42" s="106"/>
      <c r="P42" s="109"/>
      <c r="Q42" s="119" t="s">
        <v>184</v>
      </c>
      <c r="R42" s="106"/>
      <c r="S42" s="123" t="s">
        <v>195</v>
      </c>
      <c r="T42" s="124"/>
      <c r="U42" s="125" t="s">
        <v>207</v>
      </c>
      <c r="V42" s="124"/>
      <c r="W42" s="125" t="s">
        <v>223</v>
      </c>
      <c r="X42" s="124"/>
      <c r="Y42" s="125" t="s">
        <v>231</v>
      </c>
      <c r="Z42" s="123"/>
      <c r="AA42" s="123"/>
      <c r="AB42" s="123"/>
      <c r="AC42" s="123"/>
      <c r="AD42" s="123"/>
      <c r="AE42" s="126"/>
      <c r="AF42" s="107"/>
      <c r="AI42" s="74"/>
    </row>
    <row r="43" spans="1:37" ht="16" customHeight="1">
      <c r="A43" s="5"/>
      <c r="B43" s="13" t="s">
        <v>18</v>
      </c>
      <c r="C43" s="14">
        <v>90</v>
      </c>
      <c r="D43" s="153">
        <v>101.6</v>
      </c>
      <c r="E43" s="15">
        <v>2.11</v>
      </c>
      <c r="F43" s="148">
        <f t="shared" si="20"/>
        <v>5.26</v>
      </c>
      <c r="G43" s="17">
        <v>3.05</v>
      </c>
      <c r="H43" s="148">
        <f t="shared" si="17"/>
        <v>7.54</v>
      </c>
      <c r="I43" s="17">
        <v>5.74</v>
      </c>
      <c r="J43" s="148">
        <f t="shared" si="18"/>
        <v>13.79</v>
      </c>
      <c r="K43" s="17">
        <v>8.08</v>
      </c>
      <c r="L43" s="153">
        <f t="shared" si="19"/>
        <v>18.940000000000001</v>
      </c>
      <c r="M43" s="77"/>
      <c r="N43" s="108"/>
      <c r="O43" s="106"/>
      <c r="P43" s="109"/>
      <c r="Q43" s="119"/>
      <c r="R43" s="106"/>
      <c r="S43" s="114" t="s">
        <v>196</v>
      </c>
      <c r="T43" s="115"/>
      <c r="U43" s="113" t="s">
        <v>208</v>
      </c>
      <c r="V43" s="115"/>
      <c r="W43" s="113" t="s">
        <v>224</v>
      </c>
      <c r="X43" s="115"/>
      <c r="Y43" s="113" t="s">
        <v>232</v>
      </c>
      <c r="Z43" s="114"/>
      <c r="AA43" s="114"/>
      <c r="AB43" s="114"/>
      <c r="AC43" s="114"/>
      <c r="AD43" s="114"/>
      <c r="AE43" s="121"/>
      <c r="AF43" s="107"/>
      <c r="AI43" s="74"/>
    </row>
    <row r="44" spans="1:37" ht="16" customHeight="1">
      <c r="A44" s="5"/>
      <c r="B44" s="19" t="s">
        <v>19</v>
      </c>
      <c r="C44" s="20">
        <v>100</v>
      </c>
      <c r="D44" s="154">
        <v>114.3</v>
      </c>
      <c r="E44" s="21">
        <v>2.11</v>
      </c>
      <c r="F44" s="149">
        <f t="shared" si="20"/>
        <v>5.93</v>
      </c>
      <c r="G44" s="23">
        <v>3.05</v>
      </c>
      <c r="H44" s="149">
        <f t="shared" si="17"/>
        <v>8.51</v>
      </c>
      <c r="I44" s="23">
        <v>6.02</v>
      </c>
      <c r="J44" s="149">
        <f t="shared" si="18"/>
        <v>16.34</v>
      </c>
      <c r="K44" s="23">
        <v>8.56</v>
      </c>
      <c r="L44" s="154">
        <f t="shared" si="19"/>
        <v>22.69</v>
      </c>
      <c r="M44" s="77"/>
      <c r="N44" s="108"/>
      <c r="O44" s="106"/>
      <c r="P44" s="109"/>
      <c r="Q44" s="119"/>
      <c r="R44" s="106"/>
      <c r="S44" s="114" t="s">
        <v>197</v>
      </c>
      <c r="T44" s="115"/>
      <c r="U44" s="113" t="s">
        <v>209</v>
      </c>
      <c r="V44" s="115"/>
      <c r="W44" s="113" t="s">
        <v>225</v>
      </c>
      <c r="X44" s="115"/>
      <c r="Y44" s="113"/>
      <c r="Z44" s="114"/>
      <c r="AA44" s="114"/>
      <c r="AB44" s="114"/>
      <c r="AC44" s="114"/>
      <c r="AD44" s="114"/>
      <c r="AE44" s="121"/>
      <c r="AF44" s="107"/>
      <c r="AI44" s="74"/>
    </row>
    <row r="45" spans="1:37" ht="16" customHeight="1">
      <c r="A45" s="5"/>
      <c r="B45" s="25" t="s">
        <v>20</v>
      </c>
      <c r="C45" s="26">
        <v>125</v>
      </c>
      <c r="D45" s="152">
        <v>141.30000000000001</v>
      </c>
      <c r="E45" s="27">
        <v>2.77</v>
      </c>
      <c r="F45" s="150">
        <f t="shared" si="20"/>
        <v>9.6199999999999992</v>
      </c>
      <c r="G45" s="29">
        <v>3.4</v>
      </c>
      <c r="H45" s="150">
        <f t="shared" si="17"/>
        <v>11.75</v>
      </c>
      <c r="I45" s="29">
        <v>6.55</v>
      </c>
      <c r="J45" s="150">
        <f t="shared" si="18"/>
        <v>22.13</v>
      </c>
      <c r="K45" s="29">
        <v>9.52</v>
      </c>
      <c r="L45" s="152">
        <f t="shared" si="19"/>
        <v>31.45</v>
      </c>
      <c r="M45" s="77"/>
      <c r="N45" s="108"/>
      <c r="O45" s="106"/>
      <c r="P45" s="109"/>
      <c r="Q45" s="119"/>
      <c r="R45" s="106"/>
      <c r="S45" s="114" t="s">
        <v>198</v>
      </c>
      <c r="T45" s="115"/>
      <c r="U45" s="113" t="s">
        <v>210</v>
      </c>
      <c r="V45" s="115"/>
      <c r="W45" s="113"/>
      <c r="X45" s="115"/>
      <c r="Y45" s="113"/>
      <c r="Z45" s="114"/>
      <c r="AA45" s="114"/>
      <c r="AB45" s="114"/>
      <c r="AC45" s="114"/>
      <c r="AD45" s="114"/>
      <c r="AE45" s="121"/>
      <c r="AF45" s="107"/>
      <c r="AI45" s="74"/>
      <c r="AJ45" s="75"/>
      <c r="AK45" s="75"/>
    </row>
    <row r="46" spans="1:37" ht="16" customHeight="1">
      <c r="A46" s="5"/>
      <c r="B46" s="13" t="s">
        <v>21</v>
      </c>
      <c r="C46" s="14">
        <v>150</v>
      </c>
      <c r="D46" s="153">
        <v>168.28</v>
      </c>
      <c r="E46" s="15">
        <v>2.77</v>
      </c>
      <c r="F46" s="148">
        <f t="shared" si="20"/>
        <v>11.49</v>
      </c>
      <c r="G46" s="17">
        <v>3.4</v>
      </c>
      <c r="H46" s="148">
        <f t="shared" si="17"/>
        <v>14.05</v>
      </c>
      <c r="I46" s="17">
        <v>7.11</v>
      </c>
      <c r="J46" s="148">
        <f t="shared" si="18"/>
        <v>28.73</v>
      </c>
      <c r="K46" s="17">
        <v>10.97</v>
      </c>
      <c r="L46" s="153">
        <f t="shared" si="19"/>
        <v>43.26</v>
      </c>
      <c r="M46" s="77"/>
      <c r="N46" s="108"/>
      <c r="O46" s="106"/>
      <c r="P46" s="109"/>
      <c r="Q46" s="119"/>
      <c r="R46" s="106"/>
      <c r="S46" s="114" t="s">
        <v>199</v>
      </c>
      <c r="T46" s="115"/>
      <c r="U46" s="113" t="s">
        <v>211</v>
      </c>
      <c r="V46" s="115"/>
      <c r="W46" s="113" t="s">
        <v>226</v>
      </c>
      <c r="X46" s="115"/>
      <c r="Y46" s="113"/>
      <c r="Z46" s="114"/>
      <c r="AA46" s="114"/>
      <c r="AB46" s="114"/>
      <c r="AC46" s="114"/>
      <c r="AD46" s="114"/>
      <c r="AE46" s="121"/>
      <c r="AF46" s="107"/>
      <c r="AI46" s="74"/>
      <c r="AJ46" s="75"/>
      <c r="AK46" s="75"/>
    </row>
    <row r="47" spans="1:37" ht="16" customHeight="1">
      <c r="A47" s="5"/>
      <c r="B47" s="13" t="s">
        <v>22</v>
      </c>
      <c r="C47" s="14">
        <v>200</v>
      </c>
      <c r="D47" s="153">
        <v>219.08</v>
      </c>
      <c r="E47" s="15">
        <v>2.77</v>
      </c>
      <c r="F47" s="148">
        <f t="shared" si="20"/>
        <v>15.02</v>
      </c>
      <c r="G47" s="17">
        <v>3.76</v>
      </c>
      <c r="H47" s="148">
        <f t="shared" si="17"/>
        <v>20.3</v>
      </c>
      <c r="I47" s="17">
        <v>8.18</v>
      </c>
      <c r="J47" s="148">
        <f t="shared" si="18"/>
        <v>43.25</v>
      </c>
      <c r="K47" s="17">
        <v>12.7</v>
      </c>
      <c r="L47" s="153">
        <f t="shared" si="19"/>
        <v>65.709999999999994</v>
      </c>
      <c r="M47" s="77"/>
      <c r="N47" s="108"/>
      <c r="O47" s="106"/>
      <c r="P47" s="109"/>
      <c r="Q47" s="119"/>
      <c r="R47" s="106"/>
      <c r="S47" s="114" t="s">
        <v>200</v>
      </c>
      <c r="T47" s="115"/>
      <c r="U47" s="113" t="s">
        <v>212</v>
      </c>
      <c r="V47" s="115"/>
      <c r="W47" s="113" t="s">
        <v>227</v>
      </c>
      <c r="X47" s="115"/>
      <c r="Y47" s="113"/>
      <c r="Z47" s="114"/>
      <c r="AA47" s="114"/>
      <c r="AB47" s="114"/>
      <c r="AC47" s="114"/>
      <c r="AD47" s="114"/>
      <c r="AE47" s="121"/>
      <c r="AF47" s="107"/>
      <c r="AI47" s="74"/>
      <c r="AJ47" s="75"/>
      <c r="AK47" s="75"/>
    </row>
    <row r="48" spans="1:37" ht="16" customHeight="1">
      <c r="A48" s="5"/>
      <c r="B48" s="19" t="s">
        <v>23</v>
      </c>
      <c r="C48" s="20">
        <v>250</v>
      </c>
      <c r="D48" s="154">
        <v>273.05</v>
      </c>
      <c r="E48" s="21">
        <v>3.4</v>
      </c>
      <c r="F48" s="149">
        <f t="shared" si="20"/>
        <v>22.98</v>
      </c>
      <c r="G48" s="23">
        <v>4.1900000000000004</v>
      </c>
      <c r="H48" s="149">
        <f t="shared" si="17"/>
        <v>28.24</v>
      </c>
      <c r="I48" s="23">
        <v>9.27</v>
      </c>
      <c r="J48" s="149">
        <f t="shared" si="18"/>
        <v>61.3</v>
      </c>
      <c r="K48" s="23">
        <v>12.7</v>
      </c>
      <c r="L48" s="154">
        <f t="shared" si="19"/>
        <v>82.89</v>
      </c>
      <c r="M48" s="77"/>
      <c r="N48" s="132"/>
      <c r="O48" s="133"/>
      <c r="P48" s="134"/>
      <c r="Q48" s="135"/>
      <c r="R48" s="133"/>
      <c r="S48" s="136" t="s">
        <v>201</v>
      </c>
      <c r="T48" s="137"/>
      <c r="U48" s="138" t="s">
        <v>213</v>
      </c>
      <c r="V48" s="137"/>
      <c r="W48" s="138" t="s">
        <v>228</v>
      </c>
      <c r="X48" s="137"/>
      <c r="Y48" s="138"/>
      <c r="Z48" s="136"/>
      <c r="AA48" s="136"/>
      <c r="AB48" s="136"/>
      <c r="AC48" s="136"/>
      <c r="AD48" s="136"/>
      <c r="AE48" s="139"/>
      <c r="AF48" s="107"/>
      <c r="AI48" s="74"/>
      <c r="AJ48" s="75"/>
      <c r="AK48" s="75"/>
    </row>
    <row r="49" spans="1:37" ht="16" customHeight="1">
      <c r="A49" s="5"/>
      <c r="B49" s="25" t="s">
        <v>24</v>
      </c>
      <c r="C49" s="26">
        <v>300</v>
      </c>
      <c r="D49" s="152">
        <v>323.85000000000002</v>
      </c>
      <c r="E49" s="27">
        <v>3.96</v>
      </c>
      <c r="F49" s="150">
        <f t="shared" si="20"/>
        <v>31.76</v>
      </c>
      <c r="G49" s="29">
        <v>4.57</v>
      </c>
      <c r="H49" s="150">
        <f t="shared" si="17"/>
        <v>36.58</v>
      </c>
      <c r="I49" s="29">
        <v>9.52</v>
      </c>
      <c r="J49" s="150">
        <f t="shared" si="18"/>
        <v>75.02</v>
      </c>
      <c r="K49" s="29">
        <v>12.7</v>
      </c>
      <c r="L49" s="152">
        <f t="shared" si="19"/>
        <v>99.07</v>
      </c>
      <c r="M49" s="77"/>
      <c r="N49" s="108" t="s">
        <v>179</v>
      </c>
      <c r="O49" s="106"/>
      <c r="P49" s="109"/>
      <c r="Q49" s="119" t="s">
        <v>185</v>
      </c>
      <c r="R49" s="106"/>
      <c r="S49" s="123" t="s">
        <v>202</v>
      </c>
      <c r="T49" s="124"/>
      <c r="U49" s="125" t="s">
        <v>214</v>
      </c>
      <c r="V49" s="124"/>
      <c r="W49" s="125"/>
      <c r="X49" s="124"/>
      <c r="Y49" s="125" t="s">
        <v>243</v>
      </c>
      <c r="Z49" s="123"/>
      <c r="AA49" s="123"/>
      <c r="AB49" s="123"/>
      <c r="AC49" s="123"/>
      <c r="AD49" s="123"/>
      <c r="AE49" s="126"/>
      <c r="AF49" s="107"/>
      <c r="AI49" s="74"/>
      <c r="AJ49" s="75"/>
      <c r="AK49" s="75"/>
    </row>
    <row r="50" spans="1:37" ht="16" customHeight="1">
      <c r="A50" s="5"/>
      <c r="B50" s="13" t="s">
        <v>25</v>
      </c>
      <c r="C50" s="14">
        <v>350</v>
      </c>
      <c r="D50" s="153">
        <v>355.6</v>
      </c>
      <c r="E50" s="15">
        <v>3.96</v>
      </c>
      <c r="F50" s="148">
        <f t="shared" si="20"/>
        <v>34.909999999999997</v>
      </c>
      <c r="G50" s="17">
        <v>4.78</v>
      </c>
      <c r="H50" s="148">
        <f t="shared" si="17"/>
        <v>42.04</v>
      </c>
      <c r="I50" s="17"/>
      <c r="J50" s="16"/>
      <c r="K50" s="17"/>
      <c r="L50" s="18"/>
      <c r="M50" s="77"/>
      <c r="N50" s="108"/>
      <c r="O50" s="106"/>
      <c r="P50" s="109"/>
      <c r="Q50" s="119"/>
      <c r="R50" s="106"/>
      <c r="S50" s="114" t="s">
        <v>203</v>
      </c>
      <c r="T50" s="115"/>
      <c r="U50" s="113" t="s">
        <v>215</v>
      </c>
      <c r="V50" s="115"/>
      <c r="W50" s="113" t="s">
        <v>229</v>
      </c>
      <c r="X50" s="115"/>
      <c r="Y50" s="113" t="s">
        <v>244</v>
      </c>
      <c r="Z50" s="114"/>
      <c r="AA50" s="114"/>
      <c r="AB50" s="114"/>
      <c r="AC50" s="114"/>
      <c r="AD50" s="114"/>
      <c r="AE50" s="121"/>
      <c r="AF50" s="107"/>
      <c r="AI50" s="74"/>
      <c r="AJ50" s="75"/>
      <c r="AK50" s="75"/>
    </row>
    <row r="51" spans="1:37" ht="16" customHeight="1" thickBot="1">
      <c r="A51" s="5"/>
      <c r="B51" s="31" t="s">
        <v>26</v>
      </c>
      <c r="C51" s="32">
        <v>400</v>
      </c>
      <c r="D51" s="189">
        <v>406.4</v>
      </c>
      <c r="E51" s="33">
        <v>4.1900000000000004</v>
      </c>
      <c r="F51" s="151">
        <f t="shared" si="20"/>
        <v>42.25</v>
      </c>
      <c r="G51" s="34">
        <v>4.78</v>
      </c>
      <c r="H51" s="151">
        <f t="shared" si="17"/>
        <v>48.13</v>
      </c>
      <c r="I51" s="34"/>
      <c r="J51" s="140"/>
      <c r="K51" s="34"/>
      <c r="L51" s="35"/>
      <c r="M51" s="77"/>
      <c r="N51" s="110"/>
      <c r="O51" s="111"/>
      <c r="P51" s="112"/>
      <c r="Q51" s="120"/>
      <c r="R51" s="111"/>
      <c r="S51" s="117" t="s">
        <v>204</v>
      </c>
      <c r="T51" s="118"/>
      <c r="U51" s="116" t="s">
        <v>216</v>
      </c>
      <c r="V51" s="118"/>
      <c r="W51" s="116" t="s">
        <v>230</v>
      </c>
      <c r="X51" s="118"/>
      <c r="Y51" s="116"/>
      <c r="Z51" s="117"/>
      <c r="AA51" s="117"/>
      <c r="AB51" s="117"/>
      <c r="AC51" s="117"/>
      <c r="AD51" s="117"/>
      <c r="AE51" s="122"/>
      <c r="AF51" s="107"/>
      <c r="AI51" s="74"/>
    </row>
    <row r="52" spans="1:37" ht="10" customHeight="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2"/>
    </row>
    <row r="53" spans="1:37" ht="16" customHeight="1">
      <c r="A53" s="5"/>
      <c r="B53" s="197" t="s">
        <v>246</v>
      </c>
      <c r="C53" s="197"/>
      <c r="D53" s="197"/>
      <c r="E53" s="197"/>
      <c r="F53" s="197"/>
      <c r="G53" s="197"/>
      <c r="H53" s="197"/>
      <c r="X53" s="208" t="s">
        <v>247</v>
      </c>
      <c r="Y53" s="208"/>
      <c r="Z53" s="208"/>
      <c r="AA53" s="208"/>
      <c r="AB53" s="208"/>
      <c r="AC53" s="208"/>
      <c r="AD53" s="208"/>
      <c r="AF53" s="7"/>
    </row>
    <row r="54" spans="1:37" ht="16" customHeight="1">
      <c r="A54" s="5"/>
      <c r="B54" s="198"/>
      <c r="C54" s="198"/>
      <c r="D54" s="198"/>
      <c r="E54" s="198"/>
      <c r="F54" s="198"/>
      <c r="G54" s="198"/>
      <c r="H54" s="198"/>
      <c r="X54" s="209"/>
      <c r="Y54" s="209"/>
      <c r="Z54" s="209"/>
      <c r="AA54" s="209"/>
      <c r="AB54" s="209"/>
      <c r="AC54" s="209"/>
      <c r="AD54" s="209"/>
      <c r="AF54" s="7"/>
    </row>
    <row r="55" spans="1:37" ht="20.149999999999999" customHeight="1">
      <c r="A55" s="5"/>
      <c r="B55" s="104"/>
      <c r="C55" s="104"/>
      <c r="D55" s="104"/>
      <c r="E55" s="104"/>
      <c r="F55" s="104"/>
      <c r="G55" s="104"/>
      <c r="X55" s="199" t="s">
        <v>248</v>
      </c>
      <c r="Y55" s="199"/>
      <c r="Z55" s="199"/>
      <c r="AA55" s="199"/>
      <c r="AB55" s="199"/>
      <c r="AC55" s="199"/>
      <c r="AD55" s="199"/>
      <c r="AF55" s="7"/>
    </row>
    <row r="56" spans="1:37" ht="20.149999999999999" customHeight="1">
      <c r="A56" s="5"/>
      <c r="X56" s="200" t="s">
        <v>249</v>
      </c>
      <c r="Y56" s="201"/>
      <c r="Z56" s="201"/>
      <c r="AA56" s="201"/>
      <c r="AB56" s="201"/>
      <c r="AC56" s="201"/>
      <c r="AD56" s="201"/>
      <c r="AE56" s="201"/>
      <c r="AF56" s="7"/>
    </row>
    <row r="57" spans="1:37" ht="10" customHeight="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2"/>
    </row>
    <row r="58" spans="1:37" ht="16" customHeight="1"/>
  </sheetData>
  <mergeCells count="42">
    <mergeCell ref="B2:L3"/>
    <mergeCell ref="H6:J6"/>
    <mergeCell ref="H7:H8"/>
    <mergeCell ref="I7:J7"/>
    <mergeCell ref="K6:M6"/>
    <mergeCell ref="B7:B8"/>
    <mergeCell ref="C7:C8"/>
    <mergeCell ref="D7:D8"/>
    <mergeCell ref="B6:D6"/>
    <mergeCell ref="E7:E8"/>
    <mergeCell ref="E6:G6"/>
    <mergeCell ref="F7:G7"/>
    <mergeCell ref="K7:K8"/>
    <mergeCell ref="L7:M7"/>
    <mergeCell ref="Q6:S6"/>
    <mergeCell ref="T7:T8"/>
    <mergeCell ref="W6:Y6"/>
    <mergeCell ref="N6:P6"/>
    <mergeCell ref="N7:N8"/>
    <mergeCell ref="O7:P7"/>
    <mergeCell ref="W7:W8"/>
    <mergeCell ref="X7:Y7"/>
    <mergeCell ref="AB6:AD7"/>
    <mergeCell ref="Q7:Q8"/>
    <mergeCell ref="R7:S7"/>
    <mergeCell ref="T6:V6"/>
    <mergeCell ref="U7:V7"/>
    <mergeCell ref="B53:H54"/>
    <mergeCell ref="X55:AD55"/>
    <mergeCell ref="X56:AE56"/>
    <mergeCell ref="AB16:AD17"/>
    <mergeCell ref="X53:AD54"/>
    <mergeCell ref="E31:F31"/>
    <mergeCell ref="G31:H31"/>
    <mergeCell ref="I31:J31"/>
    <mergeCell ref="K31:L31"/>
    <mergeCell ref="N31:P32"/>
    <mergeCell ref="Q32:T32"/>
    <mergeCell ref="U32:V32"/>
    <mergeCell ref="W32:X32"/>
    <mergeCell ref="Q31:X31"/>
    <mergeCell ref="Y31:AE32"/>
  </mergeCells>
  <phoneticPr fontId="1" type="noConversion"/>
  <hyperlinks>
    <hyperlink ref="B53" r:id="rId1" xr:uid="{2DC2A01C-A657-48F9-A9DF-F766FD984781}"/>
  </hyperlinks>
  <printOptions horizontalCentered="1"/>
  <pageMargins left="0.15748031496062992" right="0.15748031496062992" top="0.19685039370078741" bottom="0.19685039370078741" header="0.15748031496062992" footer="0.19685039370078741"/>
  <pageSetup paperSize="9" scale="61" orientation="landscape" r:id="rId2"/>
  <headerFooter alignWithMargins="0"/>
  <ignoredErrors>
    <ignoredError sqref="F8:G8 H7:Y8 F7:G7 C21:C26 D4:D26 C4:C14 B4:B26 B37 B44:B51 C27:C28" numberStoredAsText="1"/>
    <ignoredError sqref="X24:Y24" formula="1"/>
    <ignoredError sqref="C15:C20 B38:B43" twoDigitTextYear="1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앞면</vt:lpstr>
      <vt:lpstr>뒷면</vt:lpstr>
    </vt:vector>
  </TitlesOfParts>
  <Company>PNT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정기환</dc:creator>
  <dc:description>예스폼 문서공유에 등록된 자료입니다.</dc:description>
  <cp:lastModifiedBy>형모 연</cp:lastModifiedBy>
  <cp:lastPrinted>2025-12-12T11:14:53Z</cp:lastPrinted>
  <dcterms:created xsi:type="dcterms:W3CDTF">2004-09-06T00:26:07Z</dcterms:created>
  <dcterms:modified xsi:type="dcterms:W3CDTF">2025-12-12T11:14:56Z</dcterms:modified>
</cp:coreProperties>
</file>